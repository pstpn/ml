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NU" sheetId="1" r:id="rId5"/>
    <sheet name="VU" sheetId="2" r:id="rId6"/>
    <sheet name="Лист1" sheetId="3" r:id="rId7"/>
  </sheets>
</workbook>
</file>

<file path=xl/comments1.xml><?xml version="1.0" encoding="utf-8"?>
<comments xmlns="http://schemas.openxmlformats.org/spreadsheetml/2006/main">
  <authors>
    <author>Автор</author>
  </authors>
  <commentList>
    <comment ref="W109" authorId="0">
      <text>
        <r>
          <rPr>
            <sz val="11"/>
            <color indexed="8"/>
            <rFont val="Helvetica Neue"/>
          </rPr>
          <t>Автор:
Автор:
Линейная интерпретация</t>
        </r>
      </text>
    </comment>
    <comment ref="X140" authorId="0">
      <text>
        <r>
          <rPr>
            <sz val="11"/>
            <color indexed="8"/>
            <rFont val="Helvetica Neue"/>
          </rPr>
          <t>Автор:
Автор:
Линейная интерпретация</t>
        </r>
      </text>
    </comment>
    <comment ref="W144" authorId="0">
      <text>
        <r>
          <rPr>
            <sz val="11"/>
            <color indexed="8"/>
            <rFont val="Helvetica Neue"/>
          </rPr>
          <t>Автор:
Автор:
Линейная интерпретация</t>
        </r>
      </text>
    </comment>
  </commentList>
</comments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<sst xmlns="http://schemas.openxmlformats.org/spreadsheetml/2006/main" uniqueCount="55">
  <si>
    <t>осредненные знач</t>
  </si>
  <si>
    <t>на конец режима</t>
  </si>
  <si>
    <t>Стандартные условия</t>
  </si>
  <si>
    <t>Линейные условия</t>
  </si>
  <si>
    <t>Глубина манометра</t>
  </si>
  <si>
    <t>Dшт</t>
  </si>
  <si>
    <t>Рзаб</t>
  </si>
  <si>
    <t>Руст</t>
  </si>
  <si>
    <t>Pлин</t>
  </si>
  <si>
    <t>Туст</t>
  </si>
  <si>
    <t>Tлин</t>
  </si>
  <si>
    <t>Тна шлейфе</t>
  </si>
  <si>
    <t>Тзаб</t>
  </si>
  <si>
    <t>Дебит газа</t>
  </si>
  <si>
    <t>Дебит ст. конд.</t>
  </si>
  <si>
    <t>Дебит воды</t>
  </si>
  <si>
    <t>Дебит нест. конд.</t>
  </si>
  <si>
    <t>Нэф</t>
  </si>
  <si>
    <t>Рпл. Тек (послед точка на КВД)</t>
  </si>
  <si>
    <t>Рпл. Тек (Расчет по КВД)</t>
  </si>
  <si>
    <t>Рпл. Тек (Карноухов)</t>
  </si>
  <si>
    <t>Pсб</t>
  </si>
  <si>
    <t>Ro_g</t>
  </si>
  <si>
    <t>Ro_c</t>
  </si>
  <si>
    <t>Ro_w</t>
  </si>
  <si>
    <t xml:space="preserve">Удельная плотность газа </t>
  </si>
  <si>
    <t>G_total</t>
  </si>
  <si>
    <t>КГФ</t>
  </si>
  <si>
    <t>№</t>
  </si>
  <si>
    <t>дд.мм.гггг</t>
  </si>
  <si>
    <t>м</t>
  </si>
  <si>
    <t>мм</t>
  </si>
  <si>
    <t>бар</t>
  </si>
  <si>
    <t xml:space="preserve"> С</t>
  </si>
  <si>
    <t>1000 м3/сут</t>
  </si>
  <si>
    <t>м3/сут</t>
  </si>
  <si>
    <t>МПа</t>
  </si>
  <si>
    <t xml:space="preserve"> атм</t>
  </si>
  <si>
    <t xml:space="preserve"> бар</t>
  </si>
  <si>
    <t>кг/м3</t>
  </si>
  <si>
    <t>б/р</t>
  </si>
  <si>
    <t>кг/с</t>
  </si>
  <si>
    <t>г/м3</t>
  </si>
  <si>
    <t>т/тыс.ст.м3</t>
  </si>
  <si>
    <t>-</t>
  </si>
  <si>
    <t>0.3.</t>
  </si>
  <si>
    <t>осредненные параметры</t>
  </si>
  <si>
    <t>На конец режима</t>
  </si>
  <si>
    <t>Рлин</t>
  </si>
  <si>
    <t>Дебит смеси</t>
  </si>
  <si>
    <t>Дебит гааз</t>
  </si>
  <si>
    <t>Дебит кон нестабильный</t>
  </si>
  <si>
    <t>бара</t>
  </si>
  <si>
    <t>т/тыс.м3</t>
  </si>
  <si>
    <t>не спускался</t>
  </si>
</sst>
</file>

<file path=xl/styles.xml><?xml version="1.0" encoding="utf-8"?>
<styleSheet xmlns="http://schemas.openxmlformats.org/spreadsheetml/2006/main">
  <numFmts count="7">
    <numFmt numFmtId="0" formatCode="General"/>
    <numFmt numFmtId="59" formatCode="#,##0.00&quot;р.&quot;"/>
    <numFmt numFmtId="60" formatCode="dd/mm/yy"/>
    <numFmt numFmtId="61" formatCode="0.0"/>
    <numFmt numFmtId="62" formatCode="0.000"/>
    <numFmt numFmtId="63" formatCode="dd.mm.yyyy hh:mm"/>
    <numFmt numFmtId="64" formatCode="0.0000"/>
  </numFmts>
  <fonts count="9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Times New Roman"/>
    </font>
    <font>
      <sz val="10"/>
      <color indexed="8"/>
      <name val="Arial"/>
    </font>
    <font>
      <b val="1"/>
      <sz val="12"/>
      <color indexed="8"/>
      <name val="Times New Roman"/>
    </font>
    <font>
      <sz val="10"/>
      <color indexed="14"/>
      <name val="Times New Roman"/>
    </font>
    <font>
      <sz val="11"/>
      <color indexed="8"/>
      <name val="Helvetica Neue"/>
    </font>
    <font>
      <sz val="10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50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10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0"/>
      </top>
      <bottom style="hair">
        <color indexed="8"/>
      </bottom>
      <diagonal/>
    </border>
    <border>
      <left style="hair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hair">
        <color indexed="8"/>
      </bottom>
      <diagonal/>
    </border>
    <border>
      <left style="thin">
        <color indexed="10"/>
      </left>
      <right style="thin">
        <color indexed="10"/>
      </right>
      <top style="hair">
        <color indexed="8"/>
      </top>
      <bottom style="hair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hair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hair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10"/>
      </right>
      <top style="thin">
        <color indexed="10"/>
      </top>
      <bottom style="hair">
        <color indexed="8"/>
      </bottom>
      <diagonal/>
    </border>
    <border>
      <left style="thin">
        <color indexed="10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10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10"/>
      </left>
      <right style="thin">
        <color indexed="10"/>
      </right>
      <top style="hair">
        <color indexed="8"/>
      </top>
      <bottom style="thin">
        <color indexed="10"/>
      </bottom>
      <diagonal/>
    </border>
    <border>
      <left style="thin">
        <color indexed="10"/>
      </left>
      <right style="hair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fillId="2" borderId="1" applyNumberFormat="1" applyFont="1" applyFill="1" applyBorder="1" applyAlignment="1" applyProtection="0">
      <alignment vertical="center"/>
    </xf>
    <xf numFmtId="49" fontId="0" fillId="2" borderId="2" applyNumberFormat="1" applyFont="1" applyFill="1" applyBorder="1" applyAlignment="1" applyProtection="0">
      <alignment vertical="center"/>
    </xf>
    <xf numFmtId="60" fontId="0" fillId="2" borderId="3" applyNumberFormat="1" applyFont="1" applyFill="1" applyBorder="1" applyAlignment="1" applyProtection="0">
      <alignment vertical="center" wrapText="1"/>
    </xf>
    <xf numFmtId="0" fontId="0" fillId="2" borderId="4" applyNumberFormat="0" applyFont="1" applyFill="1" applyBorder="1" applyAlignment="1" applyProtection="0">
      <alignment vertical="center"/>
    </xf>
    <xf numFmtId="49" fontId="0" fillId="2" borderId="5" applyNumberFormat="1" applyFont="1" applyFill="1" applyBorder="1" applyAlignment="1" applyProtection="0">
      <alignment vertical="center"/>
    </xf>
    <xf numFmtId="0" fontId="0" fillId="2" borderId="5" applyNumberFormat="0" applyFont="1" applyFill="1" applyBorder="1" applyAlignment="1" applyProtection="0">
      <alignment vertical="center"/>
    </xf>
    <xf numFmtId="0" fontId="0" fillId="2" borderId="6" applyNumberFormat="0" applyFont="1" applyFill="1" applyBorder="1" applyAlignment="1" applyProtection="0">
      <alignment vertical="center"/>
    </xf>
    <xf numFmtId="0" fontId="0" fillId="2" borderId="7" applyNumberFormat="0" applyFont="1" applyFill="1" applyBorder="1" applyAlignment="1" applyProtection="0">
      <alignment vertical="center"/>
    </xf>
    <xf numFmtId="0" fontId="0" fillId="2" borderId="8" applyNumberFormat="0" applyFont="1" applyFill="1" applyBorder="1" applyAlignment="1" applyProtection="0">
      <alignment vertical="center"/>
    </xf>
    <xf numFmtId="0" fontId="0" fillId="2" borderId="9" applyNumberFormat="0" applyFont="1" applyFill="1" applyBorder="1" applyAlignment="1" applyProtection="0">
      <alignment vertical="center"/>
    </xf>
    <xf numFmtId="0" fontId="0" fillId="2" borderId="10" applyNumberFormat="0" applyFont="1" applyFill="1" applyBorder="1" applyAlignment="1" applyProtection="0">
      <alignment vertical="center"/>
    </xf>
    <xf numFmtId="59" fontId="0" fillId="2" borderId="11" applyNumberFormat="1" applyFont="1" applyFill="1" applyBorder="1" applyAlignment="1" applyProtection="0">
      <alignment vertical="center"/>
    </xf>
    <xf numFmtId="49" fontId="0" fillId="2" borderId="12" applyNumberFormat="1" applyFont="1" applyFill="1" applyBorder="1" applyAlignment="1" applyProtection="0">
      <alignment vertical="center"/>
    </xf>
    <xf numFmtId="60" fontId="0" fillId="2" borderId="13" applyNumberFormat="1" applyFont="1" applyFill="1" applyBorder="1" applyAlignment="1" applyProtection="0">
      <alignment vertical="center" wrapText="1"/>
    </xf>
    <xf numFmtId="49" fontId="0" fillId="2" borderId="14" applyNumberFormat="1" applyFont="1" applyFill="1" applyBorder="1" applyAlignment="1" applyProtection="0">
      <alignment vertical="center" wrapText="1"/>
    </xf>
    <xf numFmtId="49" fontId="0" fillId="2" borderId="15" applyNumberFormat="1" applyFont="1" applyFill="1" applyBorder="1" applyAlignment="1" applyProtection="0">
      <alignment vertical="center"/>
    </xf>
    <xf numFmtId="49" fontId="3" fillId="2" borderId="5" applyNumberFormat="1" applyFont="1" applyFill="1" applyBorder="1" applyAlignment="1" applyProtection="0">
      <alignment vertical="center"/>
    </xf>
    <xf numFmtId="49" fontId="0" fillId="2" borderId="5" applyNumberFormat="1" applyFont="1" applyFill="1" applyBorder="1" applyAlignment="1" applyProtection="0">
      <alignment vertical="center" wrapText="1"/>
    </xf>
    <xf numFmtId="49" fontId="0" fillId="2" borderId="14" applyNumberFormat="1" applyFont="1" applyFill="1" applyBorder="1" applyAlignment="1" applyProtection="0">
      <alignment vertical="center"/>
    </xf>
    <xf numFmtId="49" fontId="0" fillId="2" borderId="16" applyNumberFormat="1" applyFont="1" applyFill="1" applyBorder="1" applyAlignment="1" applyProtection="0">
      <alignment vertical="center"/>
    </xf>
    <xf numFmtId="49" fontId="0" fillId="2" borderId="11" applyNumberFormat="1" applyFont="1" applyFill="1" applyBorder="1" applyAlignment="1" applyProtection="0">
      <alignment vertical="center" wrapText="1"/>
    </xf>
    <xf numFmtId="49" fontId="0" fillId="2" borderId="12" applyNumberFormat="1" applyFont="1" applyFill="1" applyBorder="1" applyAlignment="1" applyProtection="0">
      <alignment vertical="center" wrapText="1"/>
    </xf>
    <xf numFmtId="49" fontId="0" fillId="2" borderId="16" applyNumberFormat="1" applyFont="1" applyFill="1" applyBorder="1" applyAlignment="1" applyProtection="0">
      <alignment vertical="center" wrapText="1"/>
    </xf>
    <xf numFmtId="49" fontId="0" fillId="2" borderId="7" applyNumberFormat="1" applyFont="1" applyFill="1" applyBorder="1" applyAlignment="1" applyProtection="0">
      <alignment vertical="center"/>
    </xf>
    <xf numFmtId="49" fontId="0" fillId="2" borderId="6" applyNumberFormat="1" applyFont="1" applyFill="1" applyBorder="1" applyAlignment="1" applyProtection="0">
      <alignment vertical="center"/>
    </xf>
    <xf numFmtId="49" fontId="0" fillId="2" borderId="17" applyNumberFormat="1" applyFont="1" applyFill="1" applyBorder="1" applyAlignment="1" applyProtection="0">
      <alignment vertical="center" wrapText="1"/>
    </xf>
    <xf numFmtId="49" fontId="0" fillId="3" borderId="17" applyNumberFormat="1" applyFont="1" applyFill="1" applyBorder="1" applyAlignment="1" applyProtection="0">
      <alignment vertical="center" wrapText="1"/>
    </xf>
    <xf numFmtId="59" fontId="0" fillId="2" borderId="18" applyNumberFormat="1" applyFont="1" applyFill="1" applyBorder="1" applyAlignment="1" applyProtection="0">
      <alignment vertical="center"/>
    </xf>
    <xf numFmtId="49" fontId="0" fillId="2" borderId="19" applyNumberFormat="1" applyFont="1" applyFill="1" applyBorder="1" applyAlignment="1" applyProtection="0">
      <alignment vertical="center"/>
    </xf>
    <xf numFmtId="49" fontId="0" fillId="2" borderId="20" applyNumberFormat="1" applyFont="1" applyFill="1" applyBorder="1" applyAlignment="1" applyProtection="0">
      <alignment vertical="center"/>
    </xf>
    <xf numFmtId="49" fontId="0" fillId="2" borderId="18" applyNumberFormat="1" applyFont="1" applyFill="1" applyBorder="1" applyAlignment="1" applyProtection="0">
      <alignment vertical="center"/>
    </xf>
    <xf numFmtId="49" fontId="0" fillId="2" borderId="21" applyNumberFormat="1" applyFont="1" applyFill="1" applyBorder="1" applyAlignment="1" applyProtection="0">
      <alignment vertical="center"/>
    </xf>
    <xf numFmtId="49" fontId="0" fillId="2" borderId="17" applyNumberFormat="1" applyFont="1" applyFill="1" applyBorder="1" applyAlignment="1" applyProtection="0">
      <alignment vertical="bottom"/>
    </xf>
    <xf numFmtId="49" fontId="0" fillId="2" borderId="22" applyNumberFormat="1" applyFont="1" applyFill="1" applyBorder="1" applyAlignment="1" applyProtection="0">
      <alignment vertical="center"/>
    </xf>
    <xf numFmtId="0" fontId="0" fillId="2" borderId="23" applyNumberFormat="1" applyFont="1" applyFill="1" applyBorder="1" applyAlignment="1" applyProtection="0">
      <alignment vertical="center"/>
    </xf>
    <xf numFmtId="0" fontId="0" fillId="2" borderId="17" applyNumberFormat="1" applyFont="1" applyFill="1" applyBorder="1" applyAlignment="1" applyProtection="0">
      <alignment vertical="center"/>
    </xf>
    <xf numFmtId="14" fontId="0" fillId="2" borderId="17" applyNumberFormat="1" applyFont="1" applyFill="1" applyBorder="1" applyAlignment="1" applyProtection="0">
      <alignment vertical="center"/>
    </xf>
    <xf numFmtId="61" fontId="0" fillId="2" borderId="17" applyNumberFormat="1" applyFont="1" applyFill="1" applyBorder="1" applyAlignment="1" applyProtection="0">
      <alignment vertical="center"/>
    </xf>
    <xf numFmtId="2" fontId="0" fillId="2" borderId="17" applyNumberFormat="1" applyFont="1" applyFill="1" applyBorder="1" applyAlignment="1" applyProtection="0">
      <alignment vertical="center"/>
    </xf>
    <xf numFmtId="1" fontId="0" fillId="2" borderId="17" applyNumberFormat="1" applyFont="1" applyFill="1" applyBorder="1" applyAlignment="1" applyProtection="0">
      <alignment vertical="bottom"/>
    </xf>
    <xf numFmtId="2" fontId="0" fillId="2" borderId="8" applyNumberFormat="1" applyFont="1" applyFill="1" applyBorder="1" applyAlignment="1" applyProtection="0">
      <alignment vertical="center"/>
    </xf>
    <xf numFmtId="0" fontId="0" fillId="2" borderId="24" applyNumberFormat="0" applyFont="1" applyFill="1" applyBorder="1" applyAlignment="1" applyProtection="0">
      <alignment vertical="center"/>
    </xf>
    <xf numFmtId="0" fontId="0" fillId="2" borderId="25" applyNumberFormat="0" applyFont="1" applyFill="1" applyBorder="1" applyAlignment="1" applyProtection="0">
      <alignment vertical="center"/>
    </xf>
    <xf numFmtId="0" fontId="0" fillId="2" borderId="26" applyNumberFormat="0" applyFont="1" applyFill="1" applyBorder="1" applyAlignment="1" applyProtection="0">
      <alignment vertical="center"/>
    </xf>
    <xf numFmtId="1" fontId="0" fillId="2" borderId="17" applyNumberFormat="1" applyFont="1" applyFill="1" applyBorder="1" applyAlignment="1" applyProtection="0">
      <alignment vertical="center"/>
    </xf>
    <xf numFmtId="49" fontId="0" fillId="2" borderId="17" applyNumberFormat="1" applyFont="1" applyFill="1" applyBorder="1" applyAlignment="1" applyProtection="0">
      <alignment vertical="center"/>
    </xf>
    <xf numFmtId="61" fontId="0" fillId="2" borderId="17" applyNumberFormat="1" applyFont="1" applyFill="1" applyBorder="1" applyAlignment="1" applyProtection="0">
      <alignment vertical="center" wrapText="1"/>
    </xf>
    <xf numFmtId="0" fontId="0" fillId="2" borderId="9" applyNumberFormat="1" applyFont="1" applyFill="1" applyBorder="1" applyAlignment="1" applyProtection="0">
      <alignment vertical="center"/>
    </xf>
    <xf numFmtId="0" fontId="0" fillId="4" borderId="27" applyNumberFormat="1" applyFont="1" applyFill="1" applyBorder="1" applyAlignment="1" applyProtection="0">
      <alignment vertical="center"/>
    </xf>
    <xf numFmtId="0" fontId="0" fillId="4" borderId="17" applyNumberFormat="1" applyFont="1" applyFill="1" applyBorder="1" applyAlignment="1" applyProtection="0">
      <alignment vertical="center"/>
    </xf>
    <xf numFmtId="60" fontId="0" fillId="4" borderId="17" applyNumberFormat="1" applyFont="1" applyFill="1" applyBorder="1" applyAlignment="1" applyProtection="0">
      <alignment vertical="center"/>
    </xf>
    <xf numFmtId="0" fontId="0" fillId="2" borderId="17" applyNumberFormat="0" applyFont="1" applyFill="1" applyBorder="1" applyAlignment="1" applyProtection="0">
      <alignment vertical="center"/>
    </xf>
    <xf numFmtId="0" fontId="0" fillId="4" borderId="28" applyNumberFormat="0" applyFont="1" applyFill="1" applyBorder="1" applyAlignment="1" applyProtection="0">
      <alignment vertical="center"/>
    </xf>
    <xf numFmtId="0" fontId="0" fillId="4" borderId="29" applyNumberFormat="0" applyFont="1" applyFill="1" applyBorder="1" applyAlignment="1" applyProtection="0">
      <alignment vertical="center"/>
    </xf>
    <xf numFmtId="0" fontId="0" fillId="4" borderId="27" applyNumberFormat="0" applyFont="1" applyFill="1" applyBorder="1" applyAlignment="1" applyProtection="0">
      <alignment vertical="center"/>
    </xf>
    <xf numFmtId="60" fontId="0" fillId="2" borderId="17" applyNumberFormat="1" applyFont="1" applyFill="1" applyBorder="1" applyAlignment="1" applyProtection="0">
      <alignment vertical="center"/>
    </xf>
    <xf numFmtId="0" fontId="0" fillId="2" borderId="30" applyNumberFormat="1" applyFont="1" applyFill="1" applyBorder="1" applyAlignment="1" applyProtection="0">
      <alignment vertical="center"/>
    </xf>
    <xf numFmtId="61" fontId="4" fillId="2" borderId="31" applyNumberFormat="1" applyFont="1" applyFill="1" applyBorder="1" applyAlignment="1" applyProtection="0">
      <alignment horizontal="center" vertical="bottom"/>
    </xf>
    <xf numFmtId="0" fontId="0" fillId="2" borderId="32" applyNumberFormat="1" applyFont="1" applyFill="1" applyBorder="1" applyAlignment="1" applyProtection="0">
      <alignment vertical="center"/>
    </xf>
    <xf numFmtId="0" fontId="0" fillId="2" borderId="33" applyNumberFormat="1" applyFont="1" applyFill="1" applyBorder="1" applyAlignment="1" applyProtection="0">
      <alignment vertical="center"/>
    </xf>
    <xf numFmtId="62" fontId="4" fillId="2" borderId="34" applyNumberFormat="1" applyFont="1" applyFill="1" applyBorder="1" applyAlignment="1" applyProtection="0">
      <alignment horizontal="center" vertical="bottom"/>
    </xf>
    <xf numFmtId="0" fontId="0" fillId="2" borderId="32" applyNumberFormat="0" applyFont="1" applyFill="1" applyBorder="1" applyAlignment="1" applyProtection="0">
      <alignment vertical="center"/>
    </xf>
    <xf numFmtId="0" fontId="0" fillId="2" borderId="35" applyNumberFormat="1" applyFont="1" applyFill="1" applyBorder="1" applyAlignment="1" applyProtection="0">
      <alignment vertical="center"/>
    </xf>
    <xf numFmtId="0" fontId="0" fillId="2" borderId="4" applyNumberFormat="1" applyFont="1" applyFill="1" applyBorder="1" applyAlignment="1" applyProtection="0">
      <alignment vertical="center"/>
    </xf>
    <xf numFmtId="0" fontId="4" fillId="2" borderId="31" applyNumberFormat="1" applyFont="1" applyFill="1" applyBorder="1" applyAlignment="1" applyProtection="0">
      <alignment horizontal="center" vertical="center"/>
    </xf>
    <xf numFmtId="62" fontId="4" fillId="2" borderId="34" applyNumberFormat="1" applyFont="1" applyFill="1" applyBorder="1" applyAlignment="1" applyProtection="0">
      <alignment horizontal="center" vertical="center"/>
    </xf>
    <xf numFmtId="0" fontId="0" fillId="2" borderId="36" applyNumberFormat="1" applyFont="1" applyFill="1" applyBorder="1" applyAlignment="1" applyProtection="0">
      <alignment vertical="center"/>
    </xf>
    <xf numFmtId="61" fontId="5" fillId="5" borderId="12" applyNumberFormat="1" applyFont="1" applyFill="1" applyBorder="1" applyAlignment="1" applyProtection="0">
      <alignment horizontal="center" vertical="center"/>
    </xf>
    <xf numFmtId="0" fontId="0" fillId="2" borderId="3" applyNumberFormat="1" applyFont="1" applyFill="1" applyBorder="1" applyAlignment="1" applyProtection="0">
      <alignment vertical="center"/>
    </xf>
    <xf numFmtId="0" fontId="0" fillId="2" borderId="35" applyNumberFormat="0" applyFont="1" applyFill="1" applyBorder="1" applyAlignment="1" applyProtection="0">
      <alignment vertical="center"/>
    </xf>
    <xf numFmtId="1" fontId="0" fillId="2" borderId="23" applyNumberFormat="1" applyFont="1" applyFill="1" applyBorder="1" applyAlignment="1" applyProtection="0">
      <alignment vertical="center"/>
    </xf>
    <xf numFmtId="1" fontId="0" fillId="2" borderId="26" applyNumberFormat="1" applyFont="1" applyFill="1" applyBorder="1" applyAlignment="1" applyProtection="0">
      <alignment vertical="center"/>
    </xf>
    <xf numFmtId="61" fontId="0" fillId="2" borderId="17" applyNumberFormat="1" applyFont="1" applyFill="1" applyBorder="1" applyAlignment="1" applyProtection="0">
      <alignment vertical="bottom"/>
    </xf>
    <xf numFmtId="61" fontId="0" fillId="2" borderId="17" applyNumberFormat="1" applyFont="1" applyFill="1" applyBorder="1" applyAlignment="1" applyProtection="0">
      <alignment vertical="top" wrapText="1"/>
    </xf>
    <xf numFmtId="61" fontId="6" fillId="2" borderId="17" applyNumberFormat="1" applyFont="1" applyFill="1" applyBorder="1" applyAlignment="1" applyProtection="0">
      <alignment horizontal="center" vertical="center"/>
    </xf>
    <xf numFmtId="1" fontId="0" fillId="2" borderId="25" applyNumberFormat="1" applyFont="1" applyFill="1" applyBorder="1" applyAlignment="1" applyProtection="0">
      <alignment vertical="center"/>
    </xf>
    <xf numFmtId="2" fontId="6" fillId="2" borderId="17" applyNumberFormat="1" applyFont="1" applyFill="1" applyBorder="1" applyAlignment="1" applyProtection="0">
      <alignment horizontal="center" vertical="center"/>
    </xf>
    <xf numFmtId="0" fontId="0" fillId="2" borderId="10" applyNumberFormat="1" applyFont="1" applyFill="1" applyBorder="1" applyAlignment="1" applyProtection="0">
      <alignment vertical="center"/>
    </xf>
    <xf numFmtId="0" fontId="4" fillId="2" borderId="37" applyNumberFormat="1" applyFont="1" applyFill="1" applyBorder="1" applyAlignment="1" applyProtection="0">
      <alignment horizontal="center" vertical="bottom"/>
    </xf>
    <xf numFmtId="62" fontId="4" fillId="2" borderId="38" applyNumberFormat="1" applyFont="1" applyFill="1" applyBorder="1" applyAlignment="1" applyProtection="0">
      <alignment horizontal="center" vertical="bottom"/>
    </xf>
    <xf numFmtId="0" fontId="4" fillId="2" borderId="39" applyNumberFormat="1" applyFont="1" applyFill="1" applyBorder="1" applyAlignment="1" applyProtection="0">
      <alignment horizontal="center" vertical="bottom"/>
    </xf>
    <xf numFmtId="62" fontId="4" fillId="2" borderId="40" applyNumberFormat="1" applyFont="1" applyFill="1" applyBorder="1" applyAlignment="1" applyProtection="0">
      <alignment horizontal="center" vertical="bottom"/>
    </xf>
    <xf numFmtId="62" fontId="5" fillId="5" borderId="41" applyNumberFormat="1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bottom"/>
    </xf>
    <xf numFmtId="60" fontId="0" fillId="2" borderId="17" applyNumberFormat="1" applyFont="1" applyFill="1" applyBorder="1" applyAlignment="1" applyProtection="0">
      <alignment vertical="center" wrapText="1"/>
    </xf>
    <xf numFmtId="49" fontId="3" fillId="2" borderId="17" applyNumberFormat="1" applyFont="1" applyFill="1" applyBorder="1" applyAlignment="1" applyProtection="0">
      <alignment horizontal="center" vertical="center"/>
    </xf>
    <xf numFmtId="0" fontId="3" fillId="2" borderId="17" applyNumberFormat="0" applyFont="1" applyFill="1" applyBorder="1" applyAlignment="1" applyProtection="0">
      <alignment horizontal="center" vertical="center"/>
    </xf>
    <xf numFmtId="0" fontId="0" fillId="2" borderId="42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49" fontId="3" fillId="2" borderId="17" applyNumberFormat="1" applyFont="1" applyFill="1" applyBorder="1" applyAlignment="1" applyProtection="0">
      <alignment horizontal="center" vertical="center" wrapText="1"/>
    </xf>
    <xf numFmtId="49" fontId="3" fillId="3" borderId="17" applyNumberFormat="1" applyFont="1" applyFill="1" applyBorder="1" applyAlignment="1" applyProtection="0">
      <alignment horizontal="center" vertical="center" wrapText="1"/>
    </xf>
    <xf numFmtId="49" fontId="3" fillId="2" borderId="17" applyNumberFormat="1" applyFont="1" applyFill="1" applyBorder="1" applyAlignment="1" applyProtection="0">
      <alignment horizontal="center" vertical="bottom"/>
    </xf>
    <xf numFmtId="49" fontId="3" fillId="2" borderId="22" applyNumberFormat="1" applyFont="1" applyFill="1" applyBorder="1" applyAlignment="1" applyProtection="0">
      <alignment horizontal="center" vertical="center" wrapText="1"/>
    </xf>
    <xf numFmtId="2" fontId="3" fillId="2" borderId="17" applyNumberFormat="1" applyFont="1" applyFill="1" applyBorder="1" applyAlignment="1" applyProtection="0">
      <alignment horizontal="center" vertical="center"/>
    </xf>
    <xf numFmtId="2" fontId="3" fillId="2" borderId="17" applyNumberFormat="1" applyFont="1" applyFill="1" applyBorder="1" applyAlignment="1" applyProtection="0">
      <alignment horizontal="center" vertical="bottom"/>
    </xf>
    <xf numFmtId="2" fontId="0" fillId="2" borderId="17" applyNumberFormat="1" applyFont="1" applyFill="1" applyBorder="1" applyAlignment="1" applyProtection="0">
      <alignment vertical="bottom"/>
    </xf>
    <xf numFmtId="64" fontId="0" fillId="2" borderId="17" applyNumberFormat="1" applyFont="1" applyFill="1" applyBorder="1" applyAlignment="1" applyProtection="0">
      <alignment vertical="bottom"/>
    </xf>
    <xf numFmtId="61" fontId="4" fillId="2" borderId="17" applyNumberFormat="1" applyFont="1" applyFill="1" applyBorder="1" applyAlignment="1" applyProtection="0">
      <alignment horizontal="right" vertical="bottom"/>
    </xf>
    <xf numFmtId="61" fontId="3" fillId="2" borderId="17" applyNumberFormat="1" applyFont="1" applyFill="1" applyBorder="1" applyAlignment="1" applyProtection="0">
      <alignment horizontal="right" vertical="bottom"/>
    </xf>
    <xf numFmtId="64" fontId="4" fillId="2" borderId="17" applyNumberFormat="1" applyFont="1" applyFill="1" applyBorder="1" applyAlignment="1" applyProtection="0">
      <alignment horizontal="right" vertical="center" wrapText="1"/>
    </xf>
    <xf numFmtId="2" fontId="3" fillId="2" borderId="17" applyNumberFormat="1" applyFont="1" applyFill="1" applyBorder="1" applyAlignment="1" applyProtection="0">
      <alignment horizontal="right" vertical="bottom"/>
    </xf>
    <xf numFmtId="0" fontId="0" fillId="2" borderId="8" applyNumberFormat="0" applyFont="1" applyFill="1" applyBorder="1" applyAlignment="1" applyProtection="0">
      <alignment vertical="bottom"/>
    </xf>
    <xf numFmtId="2" fontId="3" fillId="2" borderId="17" applyNumberFormat="1" applyFont="1" applyFill="1" applyBorder="1" applyAlignment="1" applyProtection="0">
      <alignment horizontal="center" vertical="top" wrapText="1"/>
    </xf>
    <xf numFmtId="64" fontId="3" fillId="2" borderId="17" applyNumberFormat="1" applyFont="1" applyFill="1" applyBorder="1" applyAlignment="1" applyProtection="0">
      <alignment horizontal="right" vertical="bottom"/>
    </xf>
    <xf numFmtId="2" fontId="0" fillId="2" borderId="22" applyNumberFormat="1" applyFont="1" applyFill="1" applyBorder="1" applyAlignment="1" applyProtection="0">
      <alignment vertical="bottom"/>
    </xf>
    <xf numFmtId="2" fontId="0" fillId="2" borderId="24" applyNumberFormat="1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2" fontId="0" fillId="2" borderId="8" applyNumberFormat="1" applyFont="1" applyFill="1" applyBorder="1" applyAlignment="1" applyProtection="0">
      <alignment vertical="bottom"/>
    </xf>
    <xf numFmtId="2" fontId="0" fillId="2" borderId="9" applyNumberFormat="1" applyFont="1" applyFill="1" applyBorder="1" applyAlignment="1" applyProtection="0">
      <alignment vertical="bottom"/>
    </xf>
    <xf numFmtId="0" fontId="0" fillId="2" borderId="9" applyNumberFormat="1" applyFont="1" applyFill="1" applyBorder="1" applyAlignment="1" applyProtection="0">
      <alignment vertical="bottom"/>
    </xf>
    <xf numFmtId="2" fontId="0" fillId="2" borderId="42" applyNumberFormat="1" applyFont="1" applyFill="1" applyBorder="1" applyAlignment="1" applyProtection="0">
      <alignment vertical="bottom"/>
    </xf>
    <xf numFmtId="2" fontId="0" fillId="2" borderId="10" applyNumberFormat="1" applyFont="1" applyFill="1" applyBorder="1" applyAlignment="1" applyProtection="0">
      <alignment vertical="bottom"/>
    </xf>
    <xf numFmtId="2" fontId="0" fillId="2" borderId="43" applyNumberFormat="1" applyFont="1" applyFill="1" applyBorder="1" applyAlignment="1" applyProtection="0">
      <alignment vertical="bottom"/>
    </xf>
    <xf numFmtId="0" fontId="0" fillId="2" borderId="8" applyNumberFormat="1" applyFont="1" applyFill="1" applyBorder="1" applyAlignment="1" applyProtection="0">
      <alignment vertical="bottom"/>
    </xf>
    <xf numFmtId="2" fontId="0" fillId="2" borderId="33" applyNumberFormat="1" applyFont="1" applyFill="1" applyBorder="1" applyAlignment="1" applyProtection="0">
      <alignment vertical="bottom"/>
    </xf>
    <xf numFmtId="2" fontId="0" fillId="2" borderId="23" applyNumberFormat="1" applyFont="1" applyFill="1" applyBorder="1" applyAlignment="1" applyProtection="0">
      <alignment vertical="bottom"/>
    </xf>
    <xf numFmtId="2" fontId="0" fillId="2" borderId="25" applyNumberFormat="1" applyFont="1" applyFill="1" applyBorder="1" applyAlignment="1" applyProtection="0">
      <alignment vertical="bottom"/>
    </xf>
    <xf numFmtId="2" fontId="3" fillId="2" borderId="17" applyNumberFormat="1" applyFont="1" applyFill="1" applyBorder="1" applyAlignment="1" applyProtection="0">
      <alignment horizontal="center" vertical="center" wrapText="1"/>
    </xf>
    <xf numFmtId="0" fontId="0" fillId="2" borderId="17" applyNumberFormat="1" applyFont="1" applyFill="1" applyBorder="1" applyAlignment="1" applyProtection="0">
      <alignment vertical="center" wrapText="1"/>
    </xf>
    <xf numFmtId="0" fontId="0" fillId="2" borderId="24" applyNumberFormat="0" applyFont="1" applyFill="1" applyBorder="1" applyAlignment="1" applyProtection="0">
      <alignment vertical="bottom"/>
    </xf>
    <xf numFmtId="0" fontId="6" fillId="2" borderId="24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3" borderId="44" applyNumberFormat="1" applyFont="1" applyFill="1" applyBorder="1" applyAlignment="1" applyProtection="0">
      <alignment vertical="bottom"/>
    </xf>
    <xf numFmtId="0" fontId="0" borderId="45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borderId="46" applyNumberFormat="1" applyFont="1" applyFill="0" applyBorder="1" applyAlignment="1" applyProtection="0">
      <alignment vertical="bottom"/>
    </xf>
    <xf numFmtId="0" fontId="0" fillId="3" borderId="47" applyNumberFormat="1" applyFont="1" applyFill="1" applyBorder="1" applyAlignment="1" applyProtection="0">
      <alignment vertical="bottom"/>
    </xf>
    <xf numFmtId="0" fontId="0" borderId="48" applyNumberFormat="1" applyFont="1" applyFill="0" applyBorder="1" applyAlignment="1" applyProtection="0">
      <alignment vertical="bottom"/>
    </xf>
    <xf numFmtId="0" fontId="0" borderId="9" applyNumberFormat="1" applyFont="1" applyFill="0" applyBorder="1" applyAlignment="1" applyProtection="0">
      <alignment vertical="bottom"/>
    </xf>
    <xf numFmtId="0" fontId="0" borderId="49" applyNumberFormat="1" applyFont="1" applyFill="0" applyBorder="1" applyAlignment="1" applyProtection="0">
      <alignment vertical="bottom"/>
    </xf>
  </cellXfs>
  <cellStyles count="1">
    <cellStyle name="Normal" xfId="0" builtinId="0"/>
  </cellStyles>
  <dxfs count="2">
    <dxf>
      <fill>
        <patternFill patternType="solid">
          <fgColor indexed="32"/>
          <bgColor indexed="12"/>
        </patternFill>
      </fill>
    </dxf>
    <dxf>
      <fill>
        <patternFill patternType="solid">
          <fgColor indexed="32"/>
          <bgColor indexed="12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ff00"/>
      <rgbColor rgb="ff92d050"/>
      <rgbColor rgb="fff2dbdb"/>
      <rgbColor rgb="ffff0000"/>
      <rgbColor rgb="ff878787"/>
      <rgbColor rgb="ff4a7dbb"/>
      <rgbColor rgb="ffbe4b48"/>
      <rgbColor rgb="ff98b954"/>
      <rgbColor rgb="ff7c609f"/>
      <rgbColor rgb="ff46a9c4"/>
      <rgbColor rgb="fff59240"/>
      <rgbColor rgb="ff628fc5"/>
      <rgbColor rgb="ff5d8cc4"/>
      <rgbColor rgb="ffc86360"/>
      <rgbColor rgb="ffc65e5c"/>
      <rgbColor rgb="ffa6c46b"/>
      <rgbColor rgb="ffa4c266"/>
      <rgbColor rgb="ff8e74ae"/>
      <rgbColor rgb="ff8b70ac"/>
      <rgbColor rgb="ff5eb6cd"/>
      <rgbColor rgb="ff5ab4cc"/>
      <rgbColor rgb="0000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477638"/>
          <c:y val="0.0212529"/>
          <c:w val="0.926817"/>
          <c:h val="0.901673"/>
        </c:manualLayout>
      </c:layout>
      <c:scatterChart>
        <c:scatterStyle val="smoothMarker"/>
        <c:varyColors val="0"/>
        <c:ser>
          <c:idx val="0"/>
          <c:order val="0"/>
          <c:tx>
            <c:v>12107"</c:v>
          </c:tx>
          <c:spPr>
            <a:solidFill>
              <a:schemeClr val="accent1"/>
            </a:solidFill>
            <a:ln w="28575" cap="flat">
              <a:solidFill>
                <a:srgbClr val="4A7EBB"/>
              </a:solidFill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 cap="flat">
                <a:solidFill>
                  <a:srgbClr val="4A7EBB"/>
                </a:solidFill>
                <a:prstDash val="solid"/>
                <a:round/>
              </a:ln>
              <a:effectLst/>
            </c:spPr>
          </c:marke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'NU'!$C$135:$C$148</c:f>
              <c:numCache>
                <c:ptCount val="14"/>
                <c:pt idx="0">
                  <c:v>39325.000000</c:v>
                </c:pt>
                <c:pt idx="1">
                  <c:v>39325.000000</c:v>
                </c:pt>
                <c:pt idx="2">
                  <c:v>39326.000000</c:v>
                </c:pt>
                <c:pt idx="3">
                  <c:v>39327.000000</c:v>
                </c:pt>
                <c:pt idx="4">
                  <c:v>39328.000000</c:v>
                </c:pt>
                <c:pt idx="5">
                  <c:v>39552.000000</c:v>
                </c:pt>
                <c:pt idx="6">
                  <c:v>39553.000000</c:v>
                </c:pt>
                <c:pt idx="7">
                  <c:v>39554.000000</c:v>
                </c:pt>
                <c:pt idx="8">
                  <c:v>39555.000000</c:v>
                </c:pt>
                <c:pt idx="9">
                  <c:v>40340.000000</c:v>
                </c:pt>
                <c:pt idx="10">
                  <c:v>40344.000000</c:v>
                </c:pt>
                <c:pt idx="11">
                  <c:v>40348.000000</c:v>
                </c:pt>
                <c:pt idx="12">
                  <c:v>40352.000000</c:v>
                </c:pt>
                <c:pt idx="13">
                  <c:v>40826.000000</c:v>
                </c:pt>
              </c:numCache>
            </c:numRef>
          </c:xVal>
          <c:yVal>
            <c:numRef>
              <c:f>'NU'!$X$135:$X$148</c:f>
              <c:numCache>
                <c:ptCount val="14"/>
                <c:pt idx="0">
                  <c:v>48.800000</c:v>
                </c:pt>
                <c:pt idx="1">
                  <c:v>48.800000</c:v>
                </c:pt>
                <c:pt idx="2">
                  <c:v>48.800000</c:v>
                </c:pt>
                <c:pt idx="3">
                  <c:v>48.800000</c:v>
                </c:pt>
                <c:pt idx="4">
                  <c:v>48.800000</c:v>
                </c:pt>
                <c:pt idx="5">
                  <c:v>42.850000</c:v>
                </c:pt>
                <c:pt idx="6">
                  <c:v>42.850000</c:v>
                </c:pt>
                <c:pt idx="7">
                  <c:v>42.850000</c:v>
                </c:pt>
                <c:pt idx="8">
                  <c:v>42.850000</c:v>
                </c:pt>
                <c:pt idx="9">
                  <c:v>36.900000</c:v>
                </c:pt>
                <c:pt idx="10">
                  <c:v>36.900000</c:v>
                </c:pt>
                <c:pt idx="11">
                  <c:v>36.900000</c:v>
                </c:pt>
                <c:pt idx="12">
                  <c:v>36.900000</c:v>
                </c:pt>
                <c:pt idx="13">
                  <c:v>34.900000</c:v>
                </c:pt>
              </c:numCache>
            </c:numRef>
          </c:yVal>
          <c:smooth val="1"/>
        </c:ser>
        <c:ser>
          <c:idx val="1"/>
          <c:order val="1"/>
          <c:tx>
            <c:v>11504</c:v>
          </c:tx>
          <c:spPr>
            <a:solidFill>
              <a:schemeClr val="accent2"/>
            </a:solidFill>
            <a:ln w="28575" cap="flat">
              <a:solidFill>
                <a:srgbClr val="BE4B48"/>
              </a:solidFill>
              <a:prstDash val="solid"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 cap="flat">
                <a:solidFill>
                  <a:srgbClr val="BE4B48"/>
                </a:solidFill>
                <a:prstDash val="solid"/>
                <a:round/>
              </a:ln>
              <a:effectLst/>
            </c:spPr>
          </c:marker>
          <c:dLbls>
            <c:numFmt formatCode="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'NU'!$C$89:$C$104</c:f>
              <c:numCache>
                <c:ptCount val="16"/>
                <c:pt idx="0">
                  <c:v>39695.000000</c:v>
                </c:pt>
                <c:pt idx="1">
                  <c:v>39697.000000</c:v>
                </c:pt>
                <c:pt idx="2">
                  <c:v>39699.000000</c:v>
                </c:pt>
                <c:pt idx="3">
                  <c:v>39701.000000</c:v>
                </c:pt>
                <c:pt idx="4">
                  <c:v>39703.000000</c:v>
                </c:pt>
                <c:pt idx="5">
                  <c:v>39705.000000</c:v>
                </c:pt>
                <c:pt idx="6">
                  <c:v>39734.000000</c:v>
                </c:pt>
                <c:pt idx="7">
                  <c:v>39737.000000</c:v>
                </c:pt>
                <c:pt idx="8">
                  <c:v>39740.000000</c:v>
                </c:pt>
                <c:pt idx="9">
                  <c:v>39743.000000</c:v>
                </c:pt>
                <c:pt idx="10">
                  <c:v>39747.000000</c:v>
                </c:pt>
                <c:pt idx="11">
                  <c:v>40019.000000</c:v>
                </c:pt>
                <c:pt idx="12">
                  <c:v>40023.000000</c:v>
                </c:pt>
                <c:pt idx="13">
                  <c:v>40027.000000</c:v>
                </c:pt>
                <c:pt idx="14">
                  <c:v>40031.000000</c:v>
                </c:pt>
                <c:pt idx="15">
                  <c:v>40789.000000</c:v>
                </c:pt>
              </c:numCache>
            </c:numRef>
          </c:xVal>
          <c:yVal>
            <c:numRef>
              <c:f>'NU'!$X$89:$X$104</c:f>
              <c:numCache>
                <c:ptCount val="16"/>
                <c:pt idx="0">
                  <c:v>58.100000</c:v>
                </c:pt>
                <c:pt idx="1">
                  <c:v>58.100000</c:v>
                </c:pt>
                <c:pt idx="2">
                  <c:v>58.100000</c:v>
                </c:pt>
                <c:pt idx="3">
                  <c:v>58.100000</c:v>
                </c:pt>
                <c:pt idx="4">
                  <c:v>58.100000</c:v>
                </c:pt>
                <c:pt idx="5">
                  <c:v>58.100000</c:v>
                </c:pt>
                <c:pt idx="6">
                  <c:v>53.759000</c:v>
                </c:pt>
                <c:pt idx="7">
                  <c:v>53.759000</c:v>
                </c:pt>
                <c:pt idx="8">
                  <c:v>53.759000</c:v>
                </c:pt>
                <c:pt idx="9">
                  <c:v>53.759000</c:v>
                </c:pt>
                <c:pt idx="10">
                  <c:v>53.759000</c:v>
                </c:pt>
                <c:pt idx="11">
                  <c:v>57.300000</c:v>
                </c:pt>
                <c:pt idx="12">
                  <c:v>57.300000</c:v>
                </c:pt>
                <c:pt idx="13">
                  <c:v>57.300000</c:v>
                </c:pt>
                <c:pt idx="14">
                  <c:v>57.300000</c:v>
                </c:pt>
                <c:pt idx="15">
                  <c:v>49.400000</c:v>
                </c:pt>
              </c:numCache>
            </c:numRef>
          </c:yVal>
          <c:smooth val="1"/>
        </c:ser>
        <c:ser>
          <c:idx val="2"/>
          <c:order val="2"/>
          <c:tx>
            <c:v>11206</c:v>
          </c:tx>
          <c:spPr>
            <a:solidFill>
              <a:schemeClr val="accent3"/>
            </a:solidFill>
            <a:ln w="28575" cap="flat">
              <a:solidFill>
                <a:srgbClr val="98B955"/>
              </a:solidFill>
              <a:prstDash val="solid"/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 cap="flat">
                <a:solidFill>
                  <a:srgbClr val="98B955"/>
                </a:solidFill>
                <a:prstDash val="solid"/>
                <a:round/>
              </a:ln>
              <a:effectLst/>
            </c:spPr>
          </c:marker>
          <c:dLbls>
            <c:numFmt formatCode="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'NU'!$C$36:$C$45</c:f>
              <c:numCache>
                <c:ptCount val="10"/>
                <c:pt idx="0">
                  <c:v>39311.000000</c:v>
                </c:pt>
                <c:pt idx="1">
                  <c:v>39311.000000</c:v>
                </c:pt>
                <c:pt idx="2">
                  <c:v>39312.000000</c:v>
                </c:pt>
                <c:pt idx="3">
                  <c:v>39313.000000</c:v>
                </c:pt>
                <c:pt idx="4">
                  <c:v>39314.000000</c:v>
                </c:pt>
                <c:pt idx="5">
                  <c:v>39582.000000</c:v>
                </c:pt>
                <c:pt idx="6">
                  <c:v>39584.000000</c:v>
                </c:pt>
                <c:pt idx="7">
                  <c:v>39585.000000</c:v>
                </c:pt>
                <c:pt idx="8">
                  <c:v>39587.000000</c:v>
                </c:pt>
                <c:pt idx="9">
                  <c:v>40750.000000</c:v>
                </c:pt>
              </c:numCache>
            </c:numRef>
          </c:xVal>
          <c:yVal>
            <c:numRef>
              <c:f>'NU'!$X$36:$X$45</c:f>
              <c:numCache>
                <c:ptCount val="10"/>
                <c:pt idx="0">
                  <c:v>44.500000</c:v>
                </c:pt>
                <c:pt idx="1">
                  <c:v>44.500000</c:v>
                </c:pt>
                <c:pt idx="2">
                  <c:v>44.500000</c:v>
                </c:pt>
                <c:pt idx="3">
                  <c:v>44.500000</c:v>
                </c:pt>
                <c:pt idx="4">
                  <c:v>44.500000</c:v>
                </c:pt>
                <c:pt idx="5">
                  <c:v>40.500000</c:v>
                </c:pt>
                <c:pt idx="6">
                  <c:v>40.500000</c:v>
                </c:pt>
                <c:pt idx="7">
                  <c:v>40.500000</c:v>
                </c:pt>
                <c:pt idx="8">
                  <c:v>40.500000</c:v>
                </c:pt>
                <c:pt idx="9">
                  <c:v>39.200000</c:v>
                </c:pt>
              </c:numCache>
            </c:numRef>
          </c:yVal>
          <c:smooth val="1"/>
        </c:ser>
        <c:ser>
          <c:idx val="3"/>
          <c:order val="3"/>
          <c:tx>
            <c:v>11201</c:v>
          </c:tx>
          <c:spPr>
            <a:solidFill>
              <a:schemeClr val="accent4"/>
            </a:solidFill>
            <a:ln w="28575" cap="flat">
              <a:solidFill>
                <a:srgbClr val="7D60A0"/>
              </a:solidFill>
              <a:prstDash val="solid"/>
              <a:round/>
            </a:ln>
            <a:effectLst/>
          </c:spPr>
          <c:marker>
            <c:symbol val="x"/>
            <c:size val="7"/>
            <c:spPr>
              <a:solidFill>
                <a:schemeClr val="accent4"/>
              </a:solidFill>
              <a:ln w="9525" cap="flat">
                <a:solidFill>
                  <a:srgbClr val="7D60A0"/>
                </a:solidFill>
                <a:prstDash val="solid"/>
                <a:round/>
              </a:ln>
              <a:effectLst/>
            </c:spPr>
          </c:marker>
          <c:dLbls>
            <c:numFmt formatCode="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'NU'!$C$4:$C$12</c:f>
              <c:numCache>
                <c:ptCount val="9"/>
                <c:pt idx="0">
                  <c:v>40163.000000</c:v>
                </c:pt>
                <c:pt idx="1">
                  <c:v>40165.000000</c:v>
                </c:pt>
                <c:pt idx="2">
                  <c:v>40168.000000</c:v>
                </c:pt>
                <c:pt idx="3">
                  <c:v>40172.000000</c:v>
                </c:pt>
                <c:pt idx="4">
                  <c:v>40316.656944</c:v>
                </c:pt>
                <c:pt idx="5">
                  <c:v>40320.678472</c:v>
                </c:pt>
                <c:pt idx="6">
                  <c:v>40324.665278</c:v>
                </c:pt>
                <c:pt idx="7">
                  <c:v>40328.668056</c:v>
                </c:pt>
                <c:pt idx="8">
                  <c:v>40773.836806</c:v>
                </c:pt>
              </c:numCache>
            </c:numRef>
          </c:xVal>
          <c:yVal>
            <c:numRef>
              <c:f>'NU'!$X$4:$X$12</c:f>
              <c:numCache>
                <c:ptCount val="8"/>
                <c:pt idx="0">
                  <c:v>31.000000</c:v>
                </c:pt>
                <c:pt idx="1">
                  <c:v>31.000000</c:v>
                </c:pt>
                <c:pt idx="2">
                  <c:v>31.000000</c:v>
                </c:pt>
                <c:pt idx="3">
                  <c:v>31.000000</c:v>
                </c:pt>
                <c:pt idx="4">
                  <c:v>34.500000</c:v>
                </c:pt>
                <c:pt idx="5">
                  <c:v>34.500000</c:v>
                </c:pt>
                <c:pt idx="6">
                  <c:v>34.500000</c:v>
                </c:pt>
                <c:pt idx="7">
                  <c:v>34.500000</c:v>
                </c:pt>
              </c:numCache>
            </c:numRef>
          </c:yVal>
          <c:smooth val="1"/>
        </c:ser>
        <c:ser>
          <c:idx val="4"/>
          <c:order val="4"/>
          <c:tx>
            <c:v>11303</c:v>
          </c:tx>
          <c:spPr>
            <a:solidFill>
              <a:schemeClr val="accent5"/>
            </a:solidFill>
            <a:ln w="28575" cap="flat">
              <a:solidFill>
                <a:srgbClr val="46AAC4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chemeClr val="accent5"/>
              </a:solidFill>
              <a:ln w="9525" cap="flat">
                <a:solidFill>
                  <a:srgbClr val="46AAC4"/>
                </a:solidFill>
                <a:prstDash val="solid"/>
                <a:round/>
              </a:ln>
              <a:effectLst/>
            </c:spPr>
          </c:marker>
          <c:dLbls>
            <c:numFmt formatCode="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'NU'!$C$58:$C$64</c:f>
              <c:numCache>
                <c:ptCount val="7"/>
                <c:pt idx="0">
                  <c:v>39591.000000</c:v>
                </c:pt>
                <c:pt idx="1">
                  <c:v>39592.000000</c:v>
                </c:pt>
                <c:pt idx="2">
                  <c:v>39594.000000</c:v>
                </c:pt>
                <c:pt idx="3">
                  <c:v>39596.000000</c:v>
                </c:pt>
                <c:pt idx="4">
                  <c:v>40260.000000</c:v>
                </c:pt>
                <c:pt idx="5">
                  <c:v>40263.000000</c:v>
                </c:pt>
                <c:pt idx="6">
                  <c:v>40742.854167</c:v>
                </c:pt>
              </c:numCache>
            </c:numRef>
          </c:xVal>
          <c:yVal>
            <c:numRef>
              <c:f>'NU'!$X$58:$X$64</c:f>
              <c:numCache>
                <c:ptCount val="6"/>
                <c:pt idx="0">
                  <c:v>40.600000</c:v>
                </c:pt>
                <c:pt idx="1">
                  <c:v>40.600000</c:v>
                </c:pt>
                <c:pt idx="2">
                  <c:v>40.600000</c:v>
                </c:pt>
                <c:pt idx="3">
                  <c:v>40.600000</c:v>
                </c:pt>
                <c:pt idx="4">
                  <c:v>33.500000</c:v>
                </c:pt>
                <c:pt idx="5">
                  <c:v>33.500000</c:v>
                </c:pt>
              </c:numCache>
            </c:numRef>
          </c:yVal>
          <c:smooth val="1"/>
        </c:ser>
        <c:ser>
          <c:idx val="5"/>
          <c:order val="5"/>
          <c:tx>
            <c:v>11501</c:v>
          </c:tx>
          <c:spPr>
            <a:solidFill>
              <a:schemeClr val="accent6"/>
            </a:solidFill>
            <a:ln w="28575" cap="flat">
              <a:solidFill>
                <a:srgbClr val="F6924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 cap="flat">
                <a:solidFill>
                  <a:srgbClr val="F69240"/>
                </a:solidFill>
                <a:prstDash val="solid"/>
                <a:round/>
              </a:ln>
              <a:effectLst/>
            </c:spPr>
          </c:marker>
          <c:dLbls>
            <c:numFmt formatCode="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'NU'!$C$65:$C$77</c:f>
              <c:numCache>
                <c:ptCount val="13"/>
                <c:pt idx="0">
                  <c:v>39448.000000</c:v>
                </c:pt>
                <c:pt idx="1">
                  <c:v>39451.000000</c:v>
                </c:pt>
                <c:pt idx="2">
                  <c:v>39454.000000</c:v>
                </c:pt>
                <c:pt idx="3">
                  <c:v>39457.000000</c:v>
                </c:pt>
                <c:pt idx="4">
                  <c:v>39657.000000</c:v>
                </c:pt>
                <c:pt idx="5">
                  <c:v>39659.000000</c:v>
                </c:pt>
                <c:pt idx="6">
                  <c:v>39661.000000</c:v>
                </c:pt>
                <c:pt idx="7">
                  <c:v>39663.000000</c:v>
                </c:pt>
                <c:pt idx="8">
                  <c:v>39665.000000</c:v>
                </c:pt>
                <c:pt idx="9">
                  <c:v>40305.000000</c:v>
                </c:pt>
                <c:pt idx="10">
                  <c:v>40309.000000</c:v>
                </c:pt>
                <c:pt idx="11">
                  <c:v>40313.000000</c:v>
                </c:pt>
                <c:pt idx="12">
                  <c:v>40780.000000</c:v>
                </c:pt>
              </c:numCache>
            </c:numRef>
          </c:xVal>
          <c:yVal>
            <c:numRef>
              <c:f>'NU'!$X$65:$X$77</c:f>
              <c:numCache>
                <c:ptCount val="9"/>
                <c:pt idx="0">
                  <c:v>53.000000</c:v>
                </c:pt>
                <c:pt idx="1">
                  <c:v>53.000000</c:v>
                </c:pt>
                <c:pt idx="2">
                  <c:v>53.000000</c:v>
                </c:pt>
                <c:pt idx="3">
                  <c:v>53.000000</c:v>
                </c:pt>
                <c:pt idx="4">
                  <c:v>52.900000</c:v>
                </c:pt>
                <c:pt idx="5">
                  <c:v>52.900000</c:v>
                </c:pt>
                <c:pt idx="6">
                  <c:v>52.900000</c:v>
                </c:pt>
                <c:pt idx="7">
                  <c:v>52.900000</c:v>
                </c:pt>
                <c:pt idx="8">
                  <c:v>52.900000</c:v>
                </c:pt>
              </c:numCache>
            </c:numRef>
          </c:yVal>
          <c:smooth val="1"/>
        </c:ser>
        <c:ser>
          <c:idx val="6"/>
          <c:order val="6"/>
          <c:tx>
            <c:v>11503</c:v>
          </c:tx>
          <c:spPr>
            <a:solidFill>
              <a:srgbClr val="628FC6"/>
            </a:solidFill>
            <a:ln w="28575" cap="flat">
              <a:solidFill>
                <a:srgbClr val="4A7EBB"/>
              </a:solidFill>
              <a:prstDash val="solid"/>
              <a:round/>
            </a:ln>
            <a:effectLst/>
          </c:spPr>
          <c:marker>
            <c:symbol val="plus"/>
            <c:size val="7"/>
            <c:spPr>
              <a:solidFill>
                <a:srgbClr val="628FC6"/>
              </a:solidFill>
              <a:ln w="9525" cap="flat">
                <a:solidFill>
                  <a:srgbClr val="5E8CC4"/>
                </a:solidFill>
                <a:prstDash val="solid"/>
                <a:round/>
              </a:ln>
              <a:effectLst/>
            </c:spPr>
          </c:marker>
          <c:dLbls>
            <c:numFmt formatCode="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'NU'!$C$78:$C$88</c:f>
              <c:numCache>
                <c:ptCount val="11"/>
                <c:pt idx="0">
                  <c:v>39425.000000</c:v>
                </c:pt>
                <c:pt idx="1">
                  <c:v>39428.000000</c:v>
                </c:pt>
                <c:pt idx="2">
                  <c:v>39430.000000</c:v>
                </c:pt>
                <c:pt idx="3">
                  <c:v>39677.000000</c:v>
                </c:pt>
                <c:pt idx="4">
                  <c:v>39680.000000</c:v>
                </c:pt>
                <c:pt idx="5">
                  <c:v>39682.000000</c:v>
                </c:pt>
                <c:pt idx="6">
                  <c:v>39684.000000</c:v>
                </c:pt>
                <c:pt idx="7">
                  <c:v>39686.000000</c:v>
                </c:pt>
                <c:pt idx="8">
                  <c:v>39688.000000</c:v>
                </c:pt>
                <c:pt idx="9">
                  <c:v>40729.000000</c:v>
                </c:pt>
                <c:pt idx="10">
                  <c:v>40732.000000</c:v>
                </c:pt>
              </c:numCache>
            </c:numRef>
          </c:xVal>
          <c:yVal>
            <c:numRef>
              <c:f>'NU'!$X$78:$X$88</c:f>
              <c:numCache>
                <c:ptCount val="6"/>
                <c:pt idx="3">
                  <c:v>53.700000</c:v>
                </c:pt>
                <c:pt idx="4">
                  <c:v>53.700000</c:v>
                </c:pt>
                <c:pt idx="5">
                  <c:v>53.700000</c:v>
                </c:pt>
                <c:pt idx="6">
                  <c:v>53.700000</c:v>
                </c:pt>
                <c:pt idx="7">
                  <c:v>53.700000</c:v>
                </c:pt>
                <c:pt idx="8">
                  <c:v>53.700000</c:v>
                </c:pt>
              </c:numCache>
            </c:numRef>
          </c:yVal>
          <c:smooth val="0"/>
        </c:ser>
        <c:ser>
          <c:idx val="7"/>
          <c:order val="7"/>
          <c:tx>
            <c:v>11504</c:v>
          </c:tx>
          <c:spPr>
            <a:solidFill>
              <a:srgbClr val="C86360"/>
            </a:solidFill>
            <a:ln w="28575" cap="flat">
              <a:solidFill>
                <a:srgbClr val="BE4B48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C86360"/>
              </a:solidFill>
              <a:ln w="9525" cap="flat">
                <a:solidFill>
                  <a:srgbClr val="C75F5C"/>
                </a:solidFill>
                <a:prstDash val="solid"/>
                <a:round/>
              </a:ln>
              <a:effectLst/>
            </c:spPr>
          </c:marker>
          <c:dLbls>
            <c:numFmt formatCode="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'NU'!$C$89:$C$104</c:f>
              <c:numCache>
                <c:ptCount val="16"/>
                <c:pt idx="0">
                  <c:v>39695.000000</c:v>
                </c:pt>
                <c:pt idx="1">
                  <c:v>39697.000000</c:v>
                </c:pt>
                <c:pt idx="2">
                  <c:v>39699.000000</c:v>
                </c:pt>
                <c:pt idx="3">
                  <c:v>39701.000000</c:v>
                </c:pt>
                <c:pt idx="4">
                  <c:v>39703.000000</c:v>
                </c:pt>
                <c:pt idx="5">
                  <c:v>39705.000000</c:v>
                </c:pt>
                <c:pt idx="6">
                  <c:v>39734.000000</c:v>
                </c:pt>
                <c:pt idx="7">
                  <c:v>39737.000000</c:v>
                </c:pt>
                <c:pt idx="8">
                  <c:v>39740.000000</c:v>
                </c:pt>
                <c:pt idx="9">
                  <c:v>39743.000000</c:v>
                </c:pt>
                <c:pt idx="10">
                  <c:v>39747.000000</c:v>
                </c:pt>
                <c:pt idx="11">
                  <c:v>40019.000000</c:v>
                </c:pt>
                <c:pt idx="12">
                  <c:v>40023.000000</c:v>
                </c:pt>
                <c:pt idx="13">
                  <c:v>40027.000000</c:v>
                </c:pt>
                <c:pt idx="14">
                  <c:v>40031.000000</c:v>
                </c:pt>
                <c:pt idx="15">
                  <c:v>40789.000000</c:v>
                </c:pt>
              </c:numCache>
            </c:numRef>
          </c:xVal>
          <c:yVal>
            <c:numRef>
              <c:f>'NU'!$X$89:$X$104</c:f>
              <c:numCache>
                <c:ptCount val="16"/>
                <c:pt idx="0">
                  <c:v>58.100000</c:v>
                </c:pt>
                <c:pt idx="1">
                  <c:v>58.100000</c:v>
                </c:pt>
                <c:pt idx="2">
                  <c:v>58.100000</c:v>
                </c:pt>
                <c:pt idx="3">
                  <c:v>58.100000</c:v>
                </c:pt>
                <c:pt idx="4">
                  <c:v>58.100000</c:v>
                </c:pt>
                <c:pt idx="5">
                  <c:v>58.100000</c:v>
                </c:pt>
                <c:pt idx="6">
                  <c:v>53.759000</c:v>
                </c:pt>
                <c:pt idx="7">
                  <c:v>53.759000</c:v>
                </c:pt>
                <c:pt idx="8">
                  <c:v>53.759000</c:v>
                </c:pt>
                <c:pt idx="9">
                  <c:v>53.759000</c:v>
                </c:pt>
                <c:pt idx="10">
                  <c:v>53.759000</c:v>
                </c:pt>
                <c:pt idx="11">
                  <c:v>57.300000</c:v>
                </c:pt>
                <c:pt idx="12">
                  <c:v>57.300000</c:v>
                </c:pt>
                <c:pt idx="13">
                  <c:v>57.300000</c:v>
                </c:pt>
                <c:pt idx="14">
                  <c:v>57.300000</c:v>
                </c:pt>
                <c:pt idx="15">
                  <c:v>49.400000</c:v>
                </c:pt>
              </c:numCache>
            </c:numRef>
          </c:yVal>
          <c:smooth val="1"/>
        </c:ser>
        <c:ser>
          <c:idx val="8"/>
          <c:order val="8"/>
          <c:tx>
            <c:v>11703</c:v>
          </c:tx>
          <c:spPr>
            <a:solidFill>
              <a:srgbClr val="A7C46B"/>
            </a:solidFill>
            <a:ln w="28575" cap="flat">
              <a:solidFill>
                <a:srgbClr val="98B955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A7C46B"/>
              </a:solidFill>
              <a:ln w="9525" cap="flat">
                <a:solidFill>
                  <a:srgbClr val="A5C267"/>
                </a:solidFill>
                <a:prstDash val="solid"/>
                <a:round/>
              </a:ln>
              <a:effectLst/>
            </c:spPr>
          </c:marker>
          <c:dLbls>
            <c:numFmt formatCode="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'NU'!$C$105:$C$114</c:f>
              <c:numCache>
                <c:ptCount val="10"/>
                <c:pt idx="0">
                  <c:v>39518.000000</c:v>
                </c:pt>
                <c:pt idx="1">
                  <c:v>39519.000000</c:v>
                </c:pt>
                <c:pt idx="2">
                  <c:v>39520.000000</c:v>
                </c:pt>
                <c:pt idx="3">
                  <c:v>39521.000000</c:v>
                </c:pt>
                <c:pt idx="4">
                  <c:v>40304.000000</c:v>
                </c:pt>
                <c:pt idx="5">
                  <c:v>40308.000000</c:v>
                </c:pt>
                <c:pt idx="6">
                  <c:v>40830.000000</c:v>
                </c:pt>
                <c:pt idx="7">
                  <c:v>40832.000000</c:v>
                </c:pt>
                <c:pt idx="8">
                  <c:v>40836.000000</c:v>
                </c:pt>
                <c:pt idx="9">
                  <c:v>40841.000000</c:v>
                </c:pt>
              </c:numCache>
            </c:numRef>
          </c:xVal>
          <c:yVal>
            <c:numRef>
              <c:f>'NU'!$X$105:$X$114</c:f>
              <c:numCache>
                <c:ptCount val="10"/>
                <c:pt idx="0">
                  <c:v>41.000000</c:v>
                </c:pt>
                <c:pt idx="1">
                  <c:v>41.000000</c:v>
                </c:pt>
                <c:pt idx="2">
                  <c:v>41.000000</c:v>
                </c:pt>
                <c:pt idx="3">
                  <c:v>41.000000</c:v>
                </c:pt>
                <c:pt idx="4">
                  <c:v>38.650000</c:v>
                </c:pt>
                <c:pt idx="5">
                  <c:v>38.650000</c:v>
                </c:pt>
                <c:pt idx="6">
                  <c:v>36.300000</c:v>
                </c:pt>
                <c:pt idx="7">
                  <c:v>36.300000</c:v>
                </c:pt>
                <c:pt idx="8">
                  <c:v>36.300000</c:v>
                </c:pt>
                <c:pt idx="9">
                  <c:v>36.300000</c:v>
                </c:pt>
              </c:numCache>
            </c:numRef>
          </c:yVal>
          <c:smooth val="1"/>
        </c:ser>
        <c:ser>
          <c:idx val="9"/>
          <c:order val="9"/>
          <c:tx>
            <c:v>11704</c:v>
          </c:tx>
          <c:spPr>
            <a:solidFill>
              <a:srgbClr val="8F75AE"/>
            </a:solidFill>
            <a:ln w="28575" cap="flat">
              <a:solidFill>
                <a:srgbClr val="7D60A0"/>
              </a:solidFill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rgbClr val="8F75AE"/>
              </a:solidFill>
              <a:ln w="9525" cap="flat">
                <a:solidFill>
                  <a:srgbClr val="8C71AC"/>
                </a:solidFill>
                <a:prstDash val="solid"/>
                <a:round/>
              </a:ln>
              <a:effectLst/>
            </c:spPr>
          </c:marker>
          <c:dLbls>
            <c:numFmt formatCode="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'NU'!$C$115:$C$120</c:f>
              <c:numCache>
                <c:ptCount val="6"/>
                <c:pt idx="0">
                  <c:v>39525.000000</c:v>
                </c:pt>
                <c:pt idx="1">
                  <c:v>39526.000000</c:v>
                </c:pt>
                <c:pt idx="2">
                  <c:v>39527.000000</c:v>
                </c:pt>
                <c:pt idx="3">
                  <c:v>39528.000000</c:v>
                </c:pt>
                <c:pt idx="4">
                  <c:v>40292.000000</c:v>
                </c:pt>
                <c:pt idx="5">
                  <c:v>40296.000000</c:v>
                </c:pt>
              </c:numCache>
            </c:numRef>
          </c:xVal>
          <c:yVal>
            <c:numRef>
              <c:f>'NU'!$X$115:$X$120</c:f>
              <c:numCache>
                <c:ptCount val="2"/>
                <c:pt idx="4">
                  <c:v>42.400000</c:v>
                </c:pt>
                <c:pt idx="5">
                  <c:v>42.400000</c:v>
                </c:pt>
              </c:numCache>
            </c:numRef>
          </c:yVal>
          <c:smooth val="1"/>
        </c:ser>
        <c:ser>
          <c:idx val="10"/>
          <c:order val="10"/>
          <c:tx>
            <c:v>12104</c:v>
          </c:tx>
          <c:spPr>
            <a:solidFill>
              <a:srgbClr val="5FB6CE"/>
            </a:solidFill>
            <a:ln w="28575" cap="flat">
              <a:solidFill>
                <a:srgbClr val="46AAC4"/>
              </a:solidFill>
              <a:prstDash val="solid"/>
              <a:round/>
            </a:ln>
            <a:effectLst/>
          </c:spPr>
          <c:marker>
            <c:symbol val="square"/>
            <c:size val="6"/>
            <c:spPr>
              <a:solidFill>
                <a:srgbClr val="5FB6CE"/>
              </a:solidFill>
              <a:ln w="9525" cap="flat">
                <a:solidFill>
                  <a:srgbClr val="5BB4CC"/>
                </a:solidFill>
                <a:prstDash val="solid"/>
                <a:round/>
              </a:ln>
              <a:effectLst/>
            </c:spPr>
          </c:marker>
          <c:dLbls>
            <c:numFmt formatCode="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'NU'!$C$121:$C$129</c:f>
              <c:numCache>
                <c:ptCount val="9"/>
                <c:pt idx="0">
                  <c:v>39559.000000</c:v>
                </c:pt>
                <c:pt idx="1">
                  <c:v>39561.000000</c:v>
                </c:pt>
                <c:pt idx="2">
                  <c:v>39563.000000</c:v>
                </c:pt>
                <c:pt idx="3">
                  <c:v>39565.000000</c:v>
                </c:pt>
                <c:pt idx="4">
                  <c:v>39567.000000</c:v>
                </c:pt>
                <c:pt idx="5">
                  <c:v>40244.000000</c:v>
                </c:pt>
                <c:pt idx="6">
                  <c:v>40248.000000</c:v>
                </c:pt>
                <c:pt idx="7">
                  <c:v>40254.000000</c:v>
                </c:pt>
                <c:pt idx="8">
                  <c:v>40758.712500</c:v>
                </c:pt>
              </c:numCache>
            </c:numRef>
          </c:xVal>
          <c:yVal>
            <c:numRef>
              <c:f>'NU'!$X$121:$X$129</c:f>
              <c:numCache>
                <c:ptCount val="9"/>
                <c:pt idx="0">
                  <c:v>35.800000</c:v>
                </c:pt>
                <c:pt idx="1">
                  <c:v>35.800000</c:v>
                </c:pt>
                <c:pt idx="2">
                  <c:v>35.800000</c:v>
                </c:pt>
                <c:pt idx="3">
                  <c:v>35.800000</c:v>
                </c:pt>
                <c:pt idx="4">
                  <c:v>35.800000</c:v>
                </c:pt>
                <c:pt idx="5">
                  <c:v>34.800000</c:v>
                </c:pt>
                <c:pt idx="6">
                  <c:v>34.800000</c:v>
                </c:pt>
                <c:pt idx="7">
                  <c:v>34.800000</c:v>
                </c:pt>
                <c:pt idx="8">
                  <c:v>34.900000</c:v>
                </c:pt>
              </c:numCache>
            </c:numRef>
          </c:yVal>
          <c:smooth val="1"/>
        </c:ser>
        <c:axId val="2094734552"/>
        <c:axId val="2094734553"/>
      </c:scatterChart>
      <c:valAx>
        <c:axId val="2094734552"/>
        <c:scaling>
          <c:orientation val="minMax"/>
        </c:scaling>
        <c:delete val="0"/>
        <c:axPos val="b"/>
        <c:numFmt formatCode="dd.mm.yyyy hh:mm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crossBetween val="between"/>
      </c:valAx>
      <c:valAx>
        <c:axId val="2094734553"/>
        <c:scaling>
          <c:orientation val="minMax"/>
          <c:min val="0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15"/>
        <c:minorUnit val="7.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724225"/>
          <c:y val="0.966247"/>
          <c:w val="0.868324"/>
          <c:h val="0.0337529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948001"/>
          <c:y val="0.0502635"/>
          <c:w val="0.854749"/>
          <c:h val="0.784518"/>
        </c:manualLayout>
      </c:layout>
      <c:scatterChart>
        <c:scatterStyle val="lineMarker"/>
        <c:varyColors val="0"/>
        <c:ser>
          <c:idx val="0"/>
          <c:order val="0"/>
          <c:tx>
            <c:v>P_pl_12107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 cap="flat">
                <a:solidFill>
                  <a:srgbClr val="4A7EBB"/>
                </a:solidFill>
                <a:prstDash val="solid"/>
                <a:round/>
              </a:ln>
              <a:effectLst/>
            </c:spPr>
          </c:marker>
          <c:dLbls>
            <c:numFmt formatCode="0.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trendline>
            <c:spPr>
              <a:noFill/>
              <a:ln w="9525" cap="flat">
                <a:solidFill>
                  <a:srgbClr val="000000"/>
                </a:solidFill>
                <a:prstDash val="solid"/>
                <a:round/>
              </a:ln>
              <a:effectLst>
                <a:outerShdw sx="100000" sy="100000" kx="0" ky="0" algn="tl" rotWithShape="1" blurRad="12700" dist="25400" dir="7320000">
                  <a:srgbClr val="000000">
                    <a:alpha val="25000"/>
                  </a:srgbClr>
                </a:outerShdw>
              </a:effectLst>
            </c:spPr>
            <c:trendlineType val="linear"/>
            <c:forward val="0"/>
            <c:backward val="0"/>
            <c:dispRSqr val="1"/>
            <c:dispEq val="1"/>
            <c:trendlineLbl>
              <c:layout/>
              <c:tx>
                <c:rich>
                  <a:bodyPr rot="0"/>
                  <a:lstStyle/>
                  <a:p>
                    <a:pPr>
                      <a:defRPr b="0" i="0" strike="noStrike" sz="1000" u="none">
                        <a:solidFill>
                          <a:srgbClr val="000000"/>
                        </a:solidFill>
                        <a:latin typeface="Calibri"/>
                      </a:defRPr>
                    </a:pPr>
                    <a:r>
                      <a:rPr b="0" i="0" strike="noStrike" sz="1000" u="none">
                        <a:solidFill>
                          <a:srgbClr val="000000"/>
                        </a:solidFill>
                        <a:latin typeface="Calibri"/>
                      </a:rPr>
                      <a:t>y = -1,329E-8x + 110,02
</a:t>
                    </a:r>
                    <a:r>
                      <a:rPr b="0" i="0" strike="noStrike" sz="1000" u="none">
                        <a:solidFill>
                          <a:srgbClr val="000000"/>
                        </a:solidFill>
                        <a:latin typeface="Calibri"/>
                      </a:rPr>
                      <a:t>R² = 0,6501</a:t>
                    </a:r>
                  </a:p>
                </c:rich>
              </c:tx>
            </c:trendlineLbl>
          </c:trendline>
          <c:xVal>
            <c:numRef>
              <c:f>'NU'!$C$135:$C$148</c:f>
              <c:numCache>
                <c:ptCount val="14"/>
                <c:pt idx="0">
                  <c:v>39325.000000</c:v>
                </c:pt>
                <c:pt idx="1">
                  <c:v>39325.000000</c:v>
                </c:pt>
                <c:pt idx="2">
                  <c:v>39326.000000</c:v>
                </c:pt>
                <c:pt idx="3">
                  <c:v>39327.000000</c:v>
                </c:pt>
                <c:pt idx="4">
                  <c:v>39328.000000</c:v>
                </c:pt>
                <c:pt idx="5">
                  <c:v>39552.000000</c:v>
                </c:pt>
                <c:pt idx="6">
                  <c:v>39553.000000</c:v>
                </c:pt>
                <c:pt idx="7">
                  <c:v>39554.000000</c:v>
                </c:pt>
                <c:pt idx="8">
                  <c:v>39555.000000</c:v>
                </c:pt>
                <c:pt idx="9">
                  <c:v>40340.000000</c:v>
                </c:pt>
                <c:pt idx="10">
                  <c:v>40344.000000</c:v>
                </c:pt>
                <c:pt idx="11">
                  <c:v>40348.000000</c:v>
                </c:pt>
                <c:pt idx="12">
                  <c:v>40352.000000</c:v>
                </c:pt>
                <c:pt idx="13">
                  <c:v>40826.000000</c:v>
                </c:pt>
              </c:numCache>
            </c:numRef>
          </c:xVal>
          <c:yVal>
            <c:numRef>
              <c:f>'NU'!$O$135:$O$148</c:f>
              <c:numCache>
                <c:ptCount val="14"/>
                <c:pt idx="0">
                  <c:v>107.310000</c:v>
                </c:pt>
                <c:pt idx="1">
                  <c:v>107.310000</c:v>
                </c:pt>
                <c:pt idx="2">
                  <c:v>107.300000</c:v>
                </c:pt>
                <c:pt idx="3">
                  <c:v>107.220000</c:v>
                </c:pt>
                <c:pt idx="4">
                  <c:v>107.090000</c:v>
                </c:pt>
                <c:pt idx="5">
                  <c:v>107.400000</c:v>
                </c:pt>
                <c:pt idx="6">
                  <c:v>107.100000</c:v>
                </c:pt>
                <c:pt idx="7">
                  <c:v>106.600000</c:v>
                </c:pt>
                <c:pt idx="8">
                  <c:v>106.070000</c:v>
                </c:pt>
                <c:pt idx="9">
                  <c:v>106.500000</c:v>
                </c:pt>
                <c:pt idx="10">
                  <c:v>106.500000</c:v>
                </c:pt>
                <c:pt idx="11">
                  <c:v>106.400000</c:v>
                </c:pt>
                <c:pt idx="12">
                  <c:v>106.300000</c:v>
                </c:pt>
                <c:pt idx="13">
                  <c:v>104.600000</c:v>
                </c:pt>
              </c:numCache>
            </c:numRef>
          </c:yVal>
          <c:smooth val="0"/>
        </c:ser>
        <c:axId val="2094734552"/>
        <c:axId val="2094734553"/>
      </c:scatterChart>
      <c:valAx>
        <c:axId val="2094734552"/>
        <c:scaling>
          <c:orientation val="minMax"/>
        </c:scaling>
        <c:delete val="0"/>
        <c:axPos val="b"/>
        <c:numFmt formatCode="dd.mm.yyyy hh:mm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crossBetween val="between"/>
      </c:val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1"/>
        <c:minorUnit val="0.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413782"/>
          <c:y val="0.937237"/>
          <c:w val="0.198574"/>
          <c:h val="0.0627635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14</xdr:col>
      <xdr:colOff>364667</xdr:colOff>
      <xdr:row>149</xdr:row>
      <xdr:rowOff>62660</xdr:rowOff>
    </xdr:from>
    <xdr:to>
      <xdr:col>26</xdr:col>
      <xdr:colOff>603420</xdr:colOff>
      <xdr:row>186</xdr:row>
      <xdr:rowOff>145034</xdr:rowOff>
    </xdr:to>
    <xdr:graphicFrame>
      <xdr:nvGraphicFramePr>
        <xdr:cNvPr id="5" name="Диаграмма 1"/>
        <xdr:cNvGraphicFramePr/>
      </xdr:nvGraphicFramePr>
      <xdr:xfrm>
        <a:off x="7248067" y="28047745"/>
        <a:ext cx="9776454" cy="644952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27</xdr:col>
      <xdr:colOff>583484</xdr:colOff>
      <xdr:row>153</xdr:row>
      <xdr:rowOff>33092</xdr:rowOff>
    </xdr:from>
    <xdr:to>
      <xdr:col>35</xdr:col>
      <xdr:colOff>124425</xdr:colOff>
      <xdr:row>169</xdr:row>
      <xdr:rowOff>6775</xdr:rowOff>
    </xdr:to>
    <xdr:graphicFrame>
      <xdr:nvGraphicFramePr>
        <xdr:cNvPr id="6" name="Диаграмма 2"/>
        <xdr:cNvGraphicFramePr/>
      </xdr:nvGraphicFramePr>
      <xdr:xfrm>
        <a:off x="17753884" y="28706517"/>
        <a:ext cx="4925742" cy="2727044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AJ187"/>
  <sheetViews>
    <sheetView workbookViewId="0" showGridLines="0" defaultGridColor="1"/>
  </sheetViews>
  <sheetFormatPr defaultColWidth="8.83333" defaultRowHeight="14.25" customHeight="1" outlineLevelRow="0" outlineLevelCol="0"/>
  <cols>
    <col min="1" max="1" width="5" style="1" customWidth="1"/>
    <col min="2" max="2" width="7.67188" style="1" customWidth="1"/>
    <col min="3" max="3" width="9.85156" style="1" customWidth="1"/>
    <col min="4" max="4" width="9.17188" style="1" customWidth="1"/>
    <col min="5" max="5" width="6" style="1" customWidth="1"/>
    <col min="6" max="6" width="6.35156" style="1" customWidth="1"/>
    <col min="7" max="7" width="6.5" style="1" customWidth="1"/>
    <col min="8" max="11" width="5.5" style="1" customWidth="1"/>
    <col min="12" max="12" width="4.85156" style="1" customWidth="1"/>
    <col min="13" max="13" width="5.5" style="1" customWidth="1"/>
    <col min="14" max="14" width="7.5" style="1" customWidth="1"/>
    <col min="15" max="15" width="5.5" style="1" customWidth="1"/>
    <col min="16" max="16" width="10.6719" style="1" customWidth="1"/>
    <col min="17" max="17" width="11.5" style="1" customWidth="1"/>
    <col min="18" max="18" width="9.35156" style="1" customWidth="1"/>
    <col min="19" max="19" width="8.5" style="1" customWidth="1"/>
    <col min="20" max="20" width="13.3516" style="1" customWidth="1"/>
    <col min="21" max="21" width="9" style="1" customWidth="1"/>
    <col min="22" max="22" width="4.85156" style="1" customWidth="1"/>
    <col min="23" max="23" width="16.3516" style="1" customWidth="1"/>
    <col min="24" max="24" width="15.1719" style="1" customWidth="1"/>
    <col min="25" max="25" width="12.1719" style="1" customWidth="1"/>
    <col min="26" max="26" width="8.85156" style="1" customWidth="1"/>
    <col min="27" max="27" width="9.85156" style="1" customWidth="1"/>
    <col min="28" max="36" width="8.85156" style="1" customWidth="1"/>
    <col min="37" max="16384" width="8.85156" style="1" customWidth="1"/>
  </cols>
  <sheetData>
    <row r="1" ht="26.25" customHeight="1">
      <c r="A1" s="2"/>
      <c r="B1" s="3"/>
      <c r="C1" s="4"/>
      <c r="D1" s="5"/>
      <c r="E1" s="5"/>
      <c r="F1" t="s" s="6">
        <v>0</v>
      </c>
      <c r="G1" s="7"/>
      <c r="H1" s="7"/>
      <c r="I1" t="s" s="6">
        <v>1</v>
      </c>
      <c r="J1" s="7"/>
      <c r="K1" s="7"/>
      <c r="L1" s="5"/>
      <c r="M1" s="5"/>
      <c r="N1" s="5"/>
      <c r="O1" s="5"/>
      <c r="P1" t="s" s="6">
        <v>2</v>
      </c>
      <c r="Q1" s="7"/>
      <c r="R1" s="7"/>
      <c r="S1" t="s" s="6">
        <v>3</v>
      </c>
      <c r="T1" s="7"/>
      <c r="U1" s="7"/>
      <c r="V1" s="8"/>
      <c r="W1" s="9"/>
      <c r="X1" s="5"/>
      <c r="Y1" s="8"/>
      <c r="Z1" s="10"/>
      <c r="AA1" s="11"/>
      <c r="AB1" s="12"/>
      <c r="AC1" s="12"/>
      <c r="AD1" s="12"/>
      <c r="AE1" s="12"/>
      <c r="AF1" s="12"/>
      <c r="AG1" s="12"/>
      <c r="AH1" s="12"/>
      <c r="AI1" s="11"/>
      <c r="AJ1" s="11"/>
    </row>
    <row r="2" ht="33" customHeight="1">
      <c r="A2" s="13"/>
      <c r="B2" s="14"/>
      <c r="C2" s="15"/>
      <c r="D2" t="s" s="16">
        <v>4</v>
      </c>
      <c r="E2" t="s" s="17">
        <v>5</v>
      </c>
      <c r="F2" t="s" s="6">
        <v>6</v>
      </c>
      <c r="G2" t="s" s="6">
        <v>7</v>
      </c>
      <c r="H2" t="s" s="6">
        <v>8</v>
      </c>
      <c r="I2" t="s" s="6">
        <v>6</v>
      </c>
      <c r="J2" t="s" s="18">
        <v>7</v>
      </c>
      <c r="K2" t="s" s="18">
        <v>8</v>
      </c>
      <c r="L2" t="s" s="6">
        <v>9</v>
      </c>
      <c r="M2" t="s" s="6">
        <v>10</v>
      </c>
      <c r="N2" t="s" s="19">
        <v>11</v>
      </c>
      <c r="O2" t="s" s="20">
        <v>12</v>
      </c>
      <c r="P2" t="s" s="14">
        <v>13</v>
      </c>
      <c r="Q2" t="s" s="14">
        <v>14</v>
      </c>
      <c r="R2" t="s" s="14">
        <v>15</v>
      </c>
      <c r="S2" t="s" s="14">
        <v>13</v>
      </c>
      <c r="T2" t="s" s="14">
        <v>16</v>
      </c>
      <c r="U2" t="s" s="14">
        <v>15</v>
      </c>
      <c r="V2" t="s" s="21">
        <v>17</v>
      </c>
      <c r="W2" t="s" s="22">
        <v>18</v>
      </c>
      <c r="X2" t="s" s="23">
        <v>19</v>
      </c>
      <c r="Y2" t="s" s="24">
        <v>20</v>
      </c>
      <c r="Z2" t="s" s="25">
        <v>21</v>
      </c>
      <c r="AA2" t="s" s="26">
        <v>21</v>
      </c>
      <c r="AB2" t="s" s="27">
        <v>22</v>
      </c>
      <c r="AC2" t="s" s="28">
        <v>23</v>
      </c>
      <c r="AD2" t="s" s="27">
        <v>24</v>
      </c>
      <c r="AE2" t="s" s="28">
        <v>25</v>
      </c>
      <c r="AF2" t="s" s="27">
        <v>26</v>
      </c>
      <c r="AG2" t="s" s="27">
        <v>27</v>
      </c>
      <c r="AH2" t="s" s="28">
        <v>27</v>
      </c>
      <c r="AI2" s="10"/>
      <c r="AJ2" s="11"/>
    </row>
    <row r="3" ht="11.25" customHeight="1">
      <c r="A3" s="29"/>
      <c r="B3" t="s" s="30">
        <v>28</v>
      </c>
      <c r="C3" t="s" s="30">
        <v>29</v>
      </c>
      <c r="D3" t="s" s="30">
        <v>30</v>
      </c>
      <c r="E3" t="s" s="30">
        <v>31</v>
      </c>
      <c r="F3" t="s" s="30">
        <v>32</v>
      </c>
      <c r="G3" t="s" s="30">
        <v>32</v>
      </c>
      <c r="H3" t="s" s="30">
        <v>32</v>
      </c>
      <c r="I3" t="s" s="30">
        <v>32</v>
      </c>
      <c r="J3" t="s" s="30">
        <v>32</v>
      </c>
      <c r="K3" t="s" s="30">
        <v>32</v>
      </c>
      <c r="L3" t="s" s="30">
        <v>33</v>
      </c>
      <c r="M3" t="s" s="30">
        <v>33</v>
      </c>
      <c r="N3" t="s" s="30">
        <v>33</v>
      </c>
      <c r="O3" t="s" s="30">
        <v>33</v>
      </c>
      <c r="P3" t="s" s="30">
        <v>34</v>
      </c>
      <c r="Q3" t="s" s="30">
        <v>35</v>
      </c>
      <c r="R3" t="s" s="30">
        <v>35</v>
      </c>
      <c r="S3" t="s" s="30">
        <v>35</v>
      </c>
      <c r="T3" t="s" s="30">
        <v>35</v>
      </c>
      <c r="U3" t="s" s="30">
        <v>35</v>
      </c>
      <c r="V3" t="s" s="31">
        <v>30</v>
      </c>
      <c r="W3" t="s" s="32">
        <v>36</v>
      </c>
      <c r="X3" t="s" s="30">
        <v>36</v>
      </c>
      <c r="Y3" t="s" s="30">
        <v>36</v>
      </c>
      <c r="Z3" t="s" s="30">
        <v>37</v>
      </c>
      <c r="AA3" t="s" s="33">
        <v>38</v>
      </c>
      <c r="AB3" t="s" s="34">
        <v>39</v>
      </c>
      <c r="AC3" t="s" s="34">
        <v>39</v>
      </c>
      <c r="AD3" t="s" s="34">
        <v>39</v>
      </c>
      <c r="AE3" t="s" s="34">
        <v>40</v>
      </c>
      <c r="AF3" t="s" s="34">
        <v>41</v>
      </c>
      <c r="AG3" t="s" s="34">
        <v>42</v>
      </c>
      <c r="AH3" t="s" s="35">
        <v>43</v>
      </c>
      <c r="AI3" s="11"/>
      <c r="AJ3" s="11"/>
    </row>
    <row r="4" ht="12.75" customHeight="1">
      <c r="A4" s="36">
        <v>12</v>
      </c>
      <c r="B4" s="37">
        <v>11201</v>
      </c>
      <c r="C4" s="38">
        <v>40163</v>
      </c>
      <c r="D4" s="39">
        <v>3551.5</v>
      </c>
      <c r="E4" s="40">
        <v>7.94</v>
      </c>
      <c r="F4" s="39">
        <v>311.988</v>
      </c>
      <c r="G4" s="39">
        <v>229.520833333333</v>
      </c>
      <c r="H4" s="39">
        <v>94.40000000000001</v>
      </c>
      <c r="I4" s="39">
        <v>312</v>
      </c>
      <c r="J4" s="39">
        <v>230</v>
      </c>
      <c r="K4" s="39">
        <v>96.5</v>
      </c>
      <c r="L4" s="39">
        <v>51</v>
      </c>
      <c r="M4" s="39">
        <v>24.2</v>
      </c>
      <c r="N4" s="39">
        <v>25.2</v>
      </c>
      <c r="O4" s="39">
        <v>108.64</v>
      </c>
      <c r="P4" s="39">
        <v>213.393</v>
      </c>
      <c r="Q4" s="39">
        <v>44.2</v>
      </c>
      <c r="R4" s="40">
        <v>4.6</v>
      </c>
      <c r="S4" s="39">
        <v>1717</v>
      </c>
      <c r="T4" s="39">
        <v>69.7</v>
      </c>
      <c r="U4" s="39">
        <v>4.54</v>
      </c>
      <c r="V4" s="39">
        <v>23.60031</v>
      </c>
      <c r="W4" s="39">
        <v>32.9921</v>
      </c>
      <c r="X4" s="39">
        <v>31</v>
      </c>
      <c r="Y4" s="39">
        <v>40.8</v>
      </c>
      <c r="Z4" s="41">
        <v>93.40000000000001</v>
      </c>
      <c r="AA4" s="42" cm="1">
        <f t="array" ref="AA4">Z4/1.01325</f>
        <v>92.1786331112756</v>
      </c>
      <c r="AB4" s="43"/>
      <c r="AC4" s="43"/>
      <c r="AD4" s="43"/>
      <c r="AE4" s="43"/>
      <c r="AF4" s="43"/>
      <c r="AG4" s="43"/>
      <c r="AH4" s="11"/>
      <c r="AI4" s="11"/>
      <c r="AJ4" s="11"/>
    </row>
    <row r="5" ht="15" customHeight="1">
      <c r="A5" s="44"/>
      <c r="B5" s="37">
        <v>11201</v>
      </c>
      <c r="C5" s="38">
        <v>40165</v>
      </c>
      <c r="D5" s="39">
        <v>3551.5</v>
      </c>
      <c r="E5" s="40">
        <v>9.529999999999999</v>
      </c>
      <c r="F5" s="39">
        <v>307.32</v>
      </c>
      <c r="G5" s="39">
        <v>224.915492957746</v>
      </c>
      <c r="H5" s="39">
        <v>94.2</v>
      </c>
      <c r="I5" s="39">
        <v>307.4</v>
      </c>
      <c r="J5" s="39">
        <v>225</v>
      </c>
      <c r="K5" s="39">
        <v>94.3</v>
      </c>
      <c r="L5" s="39">
        <v>59</v>
      </c>
      <c r="M5" s="39">
        <v>34.6</v>
      </c>
      <c r="N5" s="39">
        <v>33.4</v>
      </c>
      <c r="O5" s="39">
        <v>108.63</v>
      </c>
      <c r="P5" s="39">
        <v>299.892</v>
      </c>
      <c r="Q5" s="39">
        <v>58.2</v>
      </c>
      <c r="R5" s="40">
        <v>2</v>
      </c>
      <c r="S5" s="39">
        <v>2580.86</v>
      </c>
      <c r="T5" s="39">
        <v>93.09999999999999</v>
      </c>
      <c r="U5" s="39">
        <v>2.1</v>
      </c>
      <c r="V5" s="39">
        <v>23.60031</v>
      </c>
      <c r="W5" s="39">
        <v>32.9921</v>
      </c>
      <c r="X5" s="39">
        <v>31</v>
      </c>
      <c r="Y5" s="39">
        <v>40.8</v>
      </c>
      <c r="Z5" s="41">
        <v>90.59999999999999</v>
      </c>
      <c r="AA5" s="42" cm="1">
        <f t="array" ref="AA5">Z5/1.01325</f>
        <v>89.41524796447079</v>
      </c>
      <c r="AB5" s="11"/>
      <c r="AC5" s="11"/>
      <c r="AD5" s="11"/>
      <c r="AE5" s="11"/>
      <c r="AF5" s="11"/>
      <c r="AG5" s="11"/>
      <c r="AH5" s="11"/>
      <c r="AI5" s="11"/>
      <c r="AJ5" s="11"/>
    </row>
    <row r="6" ht="15" customHeight="1">
      <c r="A6" s="44"/>
      <c r="B6" s="37">
        <v>11201</v>
      </c>
      <c r="C6" s="38">
        <v>40168</v>
      </c>
      <c r="D6" s="39">
        <v>3551.5</v>
      </c>
      <c r="E6" s="40">
        <v>11.11</v>
      </c>
      <c r="F6" s="39">
        <v>300.026</v>
      </c>
      <c r="G6" s="39">
        <v>216.778947368421</v>
      </c>
      <c r="H6" s="39">
        <v>91</v>
      </c>
      <c r="I6" s="39">
        <v>300.1</v>
      </c>
      <c r="J6" s="39">
        <v>215</v>
      </c>
      <c r="K6" s="39">
        <v>90.90000000000001</v>
      </c>
      <c r="L6" s="39">
        <v>64</v>
      </c>
      <c r="M6" s="39">
        <v>40.3</v>
      </c>
      <c r="N6" s="39">
        <v>41</v>
      </c>
      <c r="O6" s="39">
        <v>108.58</v>
      </c>
      <c r="P6" s="39">
        <v>384.668</v>
      </c>
      <c r="Q6" s="39">
        <v>67.8</v>
      </c>
      <c r="R6" s="40">
        <v>4.9</v>
      </c>
      <c r="S6" s="39">
        <v>3381.4</v>
      </c>
      <c r="T6" s="39">
        <v>108</v>
      </c>
      <c r="U6" s="39">
        <v>5.1</v>
      </c>
      <c r="V6" s="39">
        <v>23.60031</v>
      </c>
      <c r="W6" s="39">
        <v>32.9921</v>
      </c>
      <c r="X6" s="39">
        <v>31</v>
      </c>
      <c r="Y6" s="39">
        <v>40.8</v>
      </c>
      <c r="Z6" s="41">
        <v>95.2</v>
      </c>
      <c r="AA6" s="42" cm="1">
        <f t="array" ref="AA6">Z6/1.01325</f>
        <v>93.9550949913644</v>
      </c>
      <c r="AB6" s="11"/>
      <c r="AC6" s="11"/>
      <c r="AD6" s="11"/>
      <c r="AE6" s="11"/>
      <c r="AF6" s="11"/>
      <c r="AG6" s="11"/>
      <c r="AH6" s="11"/>
      <c r="AI6" s="11"/>
      <c r="AJ6" s="11"/>
    </row>
    <row r="7" ht="15" customHeight="1">
      <c r="A7" s="45"/>
      <c r="B7" s="37">
        <v>11201</v>
      </c>
      <c r="C7" s="38">
        <v>40172</v>
      </c>
      <c r="D7" s="39">
        <v>3551.5</v>
      </c>
      <c r="E7" s="40">
        <v>14.29</v>
      </c>
      <c r="F7" s="39">
        <v>288.207</v>
      </c>
      <c r="G7" s="39">
        <v>196.489361702128</v>
      </c>
      <c r="H7" s="39">
        <v>91.2</v>
      </c>
      <c r="I7" s="39">
        <v>288.3</v>
      </c>
      <c r="J7" s="39">
        <v>194</v>
      </c>
      <c r="K7" s="39">
        <v>91.2</v>
      </c>
      <c r="L7" s="39">
        <v>68</v>
      </c>
      <c r="M7" s="39">
        <v>47.8</v>
      </c>
      <c r="N7" s="39">
        <v>47.4</v>
      </c>
      <c r="O7" s="39">
        <v>108.45</v>
      </c>
      <c r="P7" s="39">
        <v>561.885</v>
      </c>
      <c r="Q7" s="39">
        <v>81.40000000000001</v>
      </c>
      <c r="R7" s="40">
        <v>10.3</v>
      </c>
      <c r="S7" s="39">
        <v>5523.44</v>
      </c>
      <c r="T7" s="39">
        <v>125.9</v>
      </c>
      <c r="U7" s="39">
        <v>10.5</v>
      </c>
      <c r="V7" s="39">
        <v>23.60031</v>
      </c>
      <c r="W7" s="39">
        <v>32.9921</v>
      </c>
      <c r="X7" s="39">
        <v>31</v>
      </c>
      <c r="Y7" s="39">
        <v>40.8</v>
      </c>
      <c r="Z7" s="41">
        <v>87.3</v>
      </c>
      <c r="AA7" s="42" cm="1">
        <f t="array" ref="AA7">Z7/1.01325</f>
        <v>86.15840118430791</v>
      </c>
      <c r="AB7" s="11"/>
      <c r="AC7" s="11"/>
      <c r="AD7" s="11"/>
      <c r="AE7" s="11"/>
      <c r="AF7" s="11"/>
      <c r="AG7" s="11"/>
      <c r="AH7" s="11"/>
      <c r="AI7" s="11"/>
      <c r="AJ7" s="11"/>
    </row>
    <row r="8" ht="12.75" customHeight="1">
      <c r="A8" s="36">
        <v>13</v>
      </c>
      <c r="B8" s="37">
        <v>11201</v>
      </c>
      <c r="C8" s="38">
        <v>40316.656944444447</v>
      </c>
      <c r="D8" s="39">
        <v>3551.5</v>
      </c>
      <c r="E8" s="37">
        <v>9.529999999999999</v>
      </c>
      <c r="F8" s="39">
        <v>296</v>
      </c>
      <c r="G8" s="39">
        <v>215</v>
      </c>
      <c r="H8" s="39">
        <v>96</v>
      </c>
      <c r="I8" s="39">
        <v>295.1</v>
      </c>
      <c r="J8" s="39">
        <v>215</v>
      </c>
      <c r="K8" s="39">
        <v>94.40000000000001</v>
      </c>
      <c r="L8" s="39">
        <v>57</v>
      </c>
      <c r="M8" s="39">
        <v>36.8</v>
      </c>
      <c r="N8" s="39">
        <v>36.3</v>
      </c>
      <c r="O8" s="39">
        <v>107.9</v>
      </c>
      <c r="P8" s="39">
        <v>294.042</v>
      </c>
      <c r="Q8" s="39">
        <v>50.1</v>
      </c>
      <c r="R8" s="40">
        <v>2.9</v>
      </c>
      <c r="S8" s="39">
        <v>2525.93</v>
      </c>
      <c r="T8" s="39">
        <v>79.90000000000001</v>
      </c>
      <c r="U8" s="39">
        <v>2.98</v>
      </c>
      <c r="V8" s="39">
        <v>23.6</v>
      </c>
      <c r="W8" s="39">
        <v>32.09</v>
      </c>
      <c r="X8" s="39">
        <v>34.5</v>
      </c>
      <c r="Y8" s="39">
        <v>34.5</v>
      </c>
      <c r="Z8" s="41">
        <v>94.7</v>
      </c>
      <c r="AA8" s="42" cm="1">
        <f t="array" ref="AA8">Z8/1.01325</f>
        <v>93.4616333580064</v>
      </c>
      <c r="AB8" s="11"/>
      <c r="AC8" s="11"/>
      <c r="AD8" s="11"/>
      <c r="AE8" s="11"/>
      <c r="AF8" s="11"/>
      <c r="AG8" s="11"/>
      <c r="AH8" s="11"/>
      <c r="AI8" s="11"/>
      <c r="AJ8" s="11"/>
    </row>
    <row r="9" ht="15" customHeight="1">
      <c r="A9" s="44"/>
      <c r="B9" s="37">
        <v>11201</v>
      </c>
      <c r="C9" s="38">
        <v>40320.678472222222</v>
      </c>
      <c r="D9" s="39">
        <v>3551.5</v>
      </c>
      <c r="E9" s="39">
        <v>11.11</v>
      </c>
      <c r="F9" s="39">
        <v>291</v>
      </c>
      <c r="G9" s="39">
        <v>207.473684210526</v>
      </c>
      <c r="H9" s="39">
        <v>99</v>
      </c>
      <c r="I9" s="39">
        <v>288.9</v>
      </c>
      <c r="J9" s="39">
        <v>206</v>
      </c>
      <c r="K9" s="39">
        <v>99.3</v>
      </c>
      <c r="L9" s="39">
        <v>61</v>
      </c>
      <c r="M9" s="39">
        <v>43.1</v>
      </c>
      <c r="N9" s="39">
        <v>42.6</v>
      </c>
      <c r="O9" s="39">
        <v>107.9</v>
      </c>
      <c r="P9" s="39">
        <v>376.638</v>
      </c>
      <c r="Q9" s="39">
        <v>60.5</v>
      </c>
      <c r="R9" s="40">
        <v>3.1</v>
      </c>
      <c r="S9" s="39">
        <v>3327.68</v>
      </c>
      <c r="T9" s="39">
        <v>94.7</v>
      </c>
      <c r="U9" s="39">
        <v>3.13</v>
      </c>
      <c r="V9" s="39">
        <v>23.6</v>
      </c>
      <c r="W9" s="39">
        <v>32.09</v>
      </c>
      <c r="X9" s="39">
        <v>34.5</v>
      </c>
      <c r="Y9" s="39">
        <v>34.5</v>
      </c>
      <c r="Z9" s="41">
        <v>94.3</v>
      </c>
      <c r="AA9" s="42" cm="1">
        <f t="array" ref="AA9">Z9/1.01325</f>
        <v>93.066864051320</v>
      </c>
      <c r="AB9" s="11"/>
      <c r="AC9" s="11"/>
      <c r="AD9" s="11"/>
      <c r="AE9" s="11"/>
      <c r="AF9" s="11"/>
      <c r="AG9" s="11"/>
      <c r="AH9" s="11"/>
      <c r="AI9" s="11"/>
      <c r="AJ9" s="11"/>
    </row>
    <row r="10" ht="15" customHeight="1">
      <c r="A10" s="44"/>
      <c r="B10" s="37">
        <v>11201</v>
      </c>
      <c r="C10" s="38">
        <v>40324.665277777778</v>
      </c>
      <c r="D10" s="39">
        <v>3551.5</v>
      </c>
      <c r="E10" s="39">
        <v>12.7</v>
      </c>
      <c r="F10" s="39">
        <v>283.5</v>
      </c>
      <c r="G10" s="39">
        <v>197.347368421053</v>
      </c>
      <c r="H10" s="39">
        <v>99.5</v>
      </c>
      <c r="I10" s="39">
        <v>280</v>
      </c>
      <c r="J10" s="39">
        <v>196</v>
      </c>
      <c r="K10" s="39">
        <v>103</v>
      </c>
      <c r="L10" s="39">
        <v>63</v>
      </c>
      <c r="M10" s="39">
        <v>47.1</v>
      </c>
      <c r="N10" s="39">
        <v>47</v>
      </c>
      <c r="O10" s="39">
        <v>107.8</v>
      </c>
      <c r="P10" s="39">
        <v>449.806</v>
      </c>
      <c r="Q10" s="39">
        <v>68.7</v>
      </c>
      <c r="R10" s="40">
        <v>3.5</v>
      </c>
      <c r="S10" s="39">
        <v>4022.55</v>
      </c>
      <c r="T10" s="39">
        <v>107.4</v>
      </c>
      <c r="U10" s="39">
        <v>3.55</v>
      </c>
      <c r="V10" s="39">
        <v>23.6</v>
      </c>
      <c r="W10" s="39">
        <v>32.09</v>
      </c>
      <c r="X10" s="39">
        <v>34.5</v>
      </c>
      <c r="Y10" s="39">
        <v>34.5</v>
      </c>
      <c r="Z10" s="41">
        <v>95.3</v>
      </c>
      <c r="AA10" s="42" cm="1">
        <f t="array" ref="AA10">Z10/1.01325</f>
        <v>94.053787318036</v>
      </c>
      <c r="AB10" s="11"/>
      <c r="AC10" s="11"/>
      <c r="AD10" s="11"/>
      <c r="AE10" s="11"/>
      <c r="AF10" s="11"/>
      <c r="AG10" s="11"/>
      <c r="AH10" s="11"/>
      <c r="AI10" s="11"/>
      <c r="AJ10" s="11"/>
    </row>
    <row r="11" ht="15" customHeight="1">
      <c r="A11" s="45"/>
      <c r="B11" s="37">
        <v>11201</v>
      </c>
      <c r="C11" s="38">
        <v>40328.668055555558</v>
      </c>
      <c r="D11" s="39">
        <v>3551.5</v>
      </c>
      <c r="E11" s="37">
        <v>14.29</v>
      </c>
      <c r="F11" s="39">
        <v>276.3</v>
      </c>
      <c r="G11" s="39">
        <v>184.242105263158</v>
      </c>
      <c r="H11" s="39">
        <v>101.5</v>
      </c>
      <c r="I11" s="39">
        <v>272.7</v>
      </c>
      <c r="J11" s="39">
        <v>183</v>
      </c>
      <c r="K11" s="39">
        <v>100.9</v>
      </c>
      <c r="L11" s="39">
        <v>66</v>
      </c>
      <c r="M11" s="39">
        <v>52.1</v>
      </c>
      <c r="N11" s="39">
        <v>52.3</v>
      </c>
      <c r="O11" s="39">
        <v>107.7</v>
      </c>
      <c r="P11" s="39">
        <v>530.97</v>
      </c>
      <c r="Q11" s="39">
        <v>80.5</v>
      </c>
      <c r="R11" s="40">
        <v>4.3</v>
      </c>
      <c r="S11" s="39">
        <v>4721.84</v>
      </c>
      <c r="T11" s="39">
        <v>123.7</v>
      </c>
      <c r="U11" s="39">
        <v>4.35</v>
      </c>
      <c r="V11" s="39">
        <v>23.6</v>
      </c>
      <c r="W11" s="39">
        <v>32.09</v>
      </c>
      <c r="X11" s="39">
        <v>34.5</v>
      </c>
      <c r="Y11" s="39">
        <v>34.5</v>
      </c>
      <c r="Z11" s="41">
        <v>97</v>
      </c>
      <c r="AA11" s="42" cm="1">
        <f t="array" ref="AA11">Z11/1.01325</f>
        <v>95.73155687145319</v>
      </c>
      <c r="AB11" s="11"/>
      <c r="AC11" s="11"/>
      <c r="AD11" s="11"/>
      <c r="AE11" s="11"/>
      <c r="AF11" s="11"/>
      <c r="AG11" s="11"/>
      <c r="AH11" s="11"/>
      <c r="AI11" s="11"/>
      <c r="AJ11" s="11"/>
    </row>
    <row r="12" ht="15" customHeight="1">
      <c r="A12" s="46">
        <v>14</v>
      </c>
      <c r="B12" s="37">
        <v>11201</v>
      </c>
      <c r="C12" s="38">
        <v>40773.836805555555</v>
      </c>
      <c r="D12" s="39">
        <v>3551.5</v>
      </c>
      <c r="E12" s="39">
        <v>9.529999999999999</v>
      </c>
      <c r="F12" t="s" s="47">
        <v>44</v>
      </c>
      <c r="G12" s="39">
        <v>201</v>
      </c>
      <c r="H12" s="39">
        <v>97.1267023977432</v>
      </c>
      <c r="I12" t="s" s="47">
        <v>44</v>
      </c>
      <c r="J12" s="39">
        <v>201</v>
      </c>
      <c r="K12" s="39">
        <v>94.8</v>
      </c>
      <c r="L12" s="39">
        <v>56</v>
      </c>
      <c r="M12" s="39">
        <v>37.553341325811</v>
      </c>
      <c r="N12" t="s" s="47">
        <v>44</v>
      </c>
      <c r="O12" t="s" s="47">
        <v>44</v>
      </c>
      <c r="P12" s="39">
        <v>272.3</v>
      </c>
      <c r="Q12" s="39">
        <v>45.7</v>
      </c>
      <c r="R12" s="39">
        <v>0.4</v>
      </c>
      <c r="S12" s="39">
        <v>2331</v>
      </c>
      <c r="T12" s="39">
        <v>72.90000000000001</v>
      </c>
      <c r="U12" s="39">
        <v>0.4</v>
      </c>
      <c r="V12" s="39">
        <v>23.6</v>
      </c>
      <c r="W12" t="s" s="47">
        <v>44</v>
      </c>
      <c r="X12" t="s" s="47">
        <v>44</v>
      </c>
      <c r="Y12" t="s" s="47">
        <v>44</v>
      </c>
      <c r="Z12" s="41">
        <v>92.59999999999999</v>
      </c>
      <c r="AA12" s="42" cm="1">
        <f t="array" ref="AA12">Z12/1.01325</f>
        <v>91.3890944979028</v>
      </c>
      <c r="AB12" s="11"/>
      <c r="AC12" s="11"/>
      <c r="AD12" s="11"/>
      <c r="AE12" s="11"/>
      <c r="AF12" s="11"/>
      <c r="AG12" s="11"/>
      <c r="AH12" s="11"/>
      <c r="AI12" s="11"/>
      <c r="AJ12" s="11"/>
    </row>
    <row r="13" ht="12.75" customHeight="1">
      <c r="A13" s="36">
        <v>15</v>
      </c>
      <c r="B13" s="37">
        <v>11203</v>
      </c>
      <c r="C13" s="38">
        <v>39303</v>
      </c>
      <c r="D13" s="39">
        <v>3512.5</v>
      </c>
      <c r="E13" s="40">
        <v>9</v>
      </c>
      <c r="F13" s="39">
        <v>334.5</v>
      </c>
      <c r="G13" s="39">
        <v>245</v>
      </c>
      <c r="H13" s="39">
        <v>92.114391025641</v>
      </c>
      <c r="I13" s="39">
        <v>334.6</v>
      </c>
      <c r="J13" s="39">
        <v>245</v>
      </c>
      <c r="K13" s="39">
        <v>91.90000000000001</v>
      </c>
      <c r="L13" s="39">
        <v>42</v>
      </c>
      <c r="M13" s="39">
        <v>25.6929615384615</v>
      </c>
      <c r="N13" s="39">
        <v>21.5</v>
      </c>
      <c r="O13" s="39">
        <v>107.36</v>
      </c>
      <c r="P13" s="39">
        <v>323.573141025641</v>
      </c>
      <c r="Q13" s="39">
        <v>54.9749102564103</v>
      </c>
      <c r="R13" s="40">
        <v>1.54611538461538</v>
      </c>
      <c r="S13" s="39">
        <v>2693.2</v>
      </c>
      <c r="T13" s="39">
        <v>89.3</v>
      </c>
      <c r="U13" s="39">
        <v>1.5</v>
      </c>
      <c r="V13" s="48">
        <v>20.9</v>
      </c>
      <c r="W13" s="48">
        <v>35.41</v>
      </c>
      <c r="X13" s="48">
        <v>38.4</v>
      </c>
      <c r="Y13" s="48">
        <v>39.5</v>
      </c>
      <c r="Z13" s="41">
        <v>86.8</v>
      </c>
      <c r="AA13" s="42" cm="1">
        <f t="array" ref="AA13">Z13/1.01325</f>
        <v>85.6649395509499</v>
      </c>
      <c r="AB13" s="11"/>
      <c r="AC13" s="49">
        <v>772</v>
      </c>
      <c r="AD13" s="11"/>
      <c r="AE13" s="49">
        <v>0.656</v>
      </c>
      <c r="AF13" s="11"/>
      <c r="AG13" s="11"/>
      <c r="AH13" s="49">
        <v>0.131</v>
      </c>
      <c r="AI13" s="11"/>
      <c r="AJ13" s="11"/>
    </row>
    <row r="14" ht="12.75" customHeight="1">
      <c r="A14" s="44"/>
      <c r="B14" s="37">
        <v>11203</v>
      </c>
      <c r="C14" s="38">
        <v>39303</v>
      </c>
      <c r="D14" s="39">
        <v>3512.5</v>
      </c>
      <c r="E14" s="40">
        <v>7.94</v>
      </c>
      <c r="F14" s="39">
        <v>335</v>
      </c>
      <c r="G14" s="39">
        <v>249</v>
      </c>
      <c r="H14" s="39">
        <v>96.2004963503649</v>
      </c>
      <c r="I14" s="39">
        <v>334.4</v>
      </c>
      <c r="J14" s="39">
        <v>249</v>
      </c>
      <c r="K14" s="39">
        <v>95.3</v>
      </c>
      <c r="L14" s="39">
        <v>44</v>
      </c>
      <c r="M14" s="39">
        <v>20.9730170316302</v>
      </c>
      <c r="N14" s="39">
        <v>20.6</v>
      </c>
      <c r="O14" s="39">
        <v>107.27</v>
      </c>
      <c r="P14" s="39">
        <v>244.972092457421</v>
      </c>
      <c r="Q14" s="39">
        <v>42.8186690997567</v>
      </c>
      <c r="R14" s="40">
        <v>1.81659878345499</v>
      </c>
      <c r="S14" s="39">
        <v>1911.4</v>
      </c>
      <c r="T14" s="39">
        <v>70.8</v>
      </c>
      <c r="U14" s="39">
        <v>1.8</v>
      </c>
      <c r="V14" s="48">
        <v>20.9</v>
      </c>
      <c r="W14" s="48">
        <v>35.41</v>
      </c>
      <c r="X14" s="48">
        <v>38.4</v>
      </c>
      <c r="Y14" s="48">
        <v>39.5</v>
      </c>
      <c r="Z14" s="41">
        <v>86.8</v>
      </c>
      <c r="AA14" s="42" cm="1">
        <f t="array" ref="AA14">Z14/1.01325</f>
        <v>85.6649395509499</v>
      </c>
      <c r="AB14" s="11"/>
      <c r="AC14" s="49">
        <v>770</v>
      </c>
      <c r="AD14" s="11"/>
      <c r="AE14" s="49">
        <v>0.656</v>
      </c>
      <c r="AF14" s="11"/>
      <c r="AG14" s="11"/>
      <c r="AH14" s="49">
        <v>0.135</v>
      </c>
      <c r="AI14" s="11"/>
      <c r="AJ14" s="11"/>
    </row>
    <row r="15" ht="12.75" customHeight="1">
      <c r="A15" s="44"/>
      <c r="B15" s="37">
        <v>11203</v>
      </c>
      <c r="C15" s="38">
        <v>39304</v>
      </c>
      <c r="D15" s="39">
        <v>3512.5</v>
      </c>
      <c r="E15" s="40">
        <v>9.529999999999999</v>
      </c>
      <c r="F15" s="39">
        <v>327.4</v>
      </c>
      <c r="G15" s="39">
        <v>242</v>
      </c>
      <c r="H15" s="39">
        <v>92.10330117647059</v>
      </c>
      <c r="I15" s="39">
        <v>326</v>
      </c>
      <c r="J15" s="39">
        <v>242</v>
      </c>
      <c r="K15" s="39">
        <v>95.40000000000001</v>
      </c>
      <c r="L15" s="39">
        <v>52</v>
      </c>
      <c r="M15" s="39">
        <v>29.7929176470588</v>
      </c>
      <c r="N15" s="39">
        <v>28.9</v>
      </c>
      <c r="O15" s="39">
        <v>107.43</v>
      </c>
      <c r="P15" s="39">
        <v>338.971529411765</v>
      </c>
      <c r="Q15" s="39">
        <v>58.7184517647058</v>
      </c>
      <c r="R15" s="40">
        <v>3.23234752941176</v>
      </c>
      <c r="S15" s="39">
        <v>2918.6</v>
      </c>
      <c r="T15" s="39">
        <v>95.40000000000001</v>
      </c>
      <c r="U15" s="39">
        <v>3.3</v>
      </c>
      <c r="V15" s="48">
        <v>20.9</v>
      </c>
      <c r="W15" s="48">
        <v>35.41</v>
      </c>
      <c r="X15" s="48">
        <v>38.4</v>
      </c>
      <c r="Y15" s="48">
        <v>39.5</v>
      </c>
      <c r="Z15" s="41">
        <v>88.7</v>
      </c>
      <c r="AA15" s="42" cm="1">
        <f t="array" ref="AA15">Z15/1.01325</f>
        <v>87.5400937577103</v>
      </c>
      <c r="AB15" s="11"/>
      <c r="AC15" s="49">
        <v>770</v>
      </c>
      <c r="AD15" s="11"/>
      <c r="AE15" s="49">
        <v>0.656</v>
      </c>
      <c r="AF15" s="11"/>
      <c r="AG15" s="11"/>
      <c r="AH15" s="49">
        <v>0.133</v>
      </c>
      <c r="AI15" s="11"/>
      <c r="AJ15" s="11"/>
    </row>
    <row r="16" ht="12.75" customHeight="1">
      <c r="A16" s="44"/>
      <c r="B16" s="37">
        <v>11203</v>
      </c>
      <c r="C16" s="38">
        <v>39305</v>
      </c>
      <c r="D16" s="39">
        <v>3512.5</v>
      </c>
      <c r="E16" s="40">
        <v>12.7</v>
      </c>
      <c r="F16" s="39">
        <v>315.9</v>
      </c>
      <c r="G16" s="39">
        <v>221</v>
      </c>
      <c r="H16" s="39">
        <v>98.7281624203822</v>
      </c>
      <c r="I16" s="39">
        <v>316.2</v>
      </c>
      <c r="J16" s="39">
        <v>221</v>
      </c>
      <c r="K16" s="39">
        <v>90.5</v>
      </c>
      <c r="L16" s="39">
        <v>62</v>
      </c>
      <c r="M16" s="39">
        <v>44.1328503184713</v>
      </c>
      <c r="N16" s="39">
        <v>42.9</v>
      </c>
      <c r="O16" s="39">
        <v>107.44</v>
      </c>
      <c r="P16" s="39">
        <v>529.832515923567</v>
      </c>
      <c r="Q16" s="39">
        <v>88.6231560509553</v>
      </c>
      <c r="R16" s="40">
        <v>1.85542898089172</v>
      </c>
      <c r="S16" s="39">
        <v>4705.6</v>
      </c>
      <c r="T16" s="39">
        <v>145.4</v>
      </c>
      <c r="U16" s="39">
        <v>1.9</v>
      </c>
      <c r="V16" s="48">
        <v>20.9</v>
      </c>
      <c r="W16" s="48">
        <v>35.41</v>
      </c>
      <c r="X16" s="48">
        <v>38.4</v>
      </c>
      <c r="Y16" s="48">
        <v>39.5</v>
      </c>
      <c r="Z16" s="41">
        <v>94.7</v>
      </c>
      <c r="AA16" s="42" cm="1">
        <f t="array" ref="AA16">Z16/1.01325</f>
        <v>93.4616333580064</v>
      </c>
      <c r="AB16" s="11"/>
      <c r="AC16" s="49">
        <v>772</v>
      </c>
      <c r="AD16" s="11"/>
      <c r="AE16" s="49">
        <v>0.656</v>
      </c>
      <c r="AF16" s="11"/>
      <c r="AG16" s="11"/>
      <c r="AH16" s="49">
        <v>0.129</v>
      </c>
      <c r="AI16" s="11"/>
      <c r="AJ16" s="11"/>
    </row>
    <row r="17" ht="12.75" customHeight="1">
      <c r="A17" s="45"/>
      <c r="B17" s="37">
        <v>11203</v>
      </c>
      <c r="C17" s="38">
        <v>39306</v>
      </c>
      <c r="D17" s="39">
        <v>3512.5</v>
      </c>
      <c r="E17" s="40">
        <v>14.29</v>
      </c>
      <c r="F17" s="39">
        <v>306.5</v>
      </c>
      <c r="G17" s="39">
        <v>206</v>
      </c>
      <c r="H17" s="39">
        <v>94.54213149847099</v>
      </c>
      <c r="I17" s="39">
        <v>311.7</v>
      </c>
      <c r="J17" s="39">
        <v>206</v>
      </c>
      <c r="K17" s="39">
        <v>94.2</v>
      </c>
      <c r="L17" s="39">
        <v>59</v>
      </c>
      <c r="M17" s="39">
        <v>47.1281529051988</v>
      </c>
      <c r="N17" s="39">
        <v>46.7</v>
      </c>
      <c r="O17" s="39">
        <v>107.36</v>
      </c>
      <c r="P17" s="39">
        <v>603.305382262997</v>
      </c>
      <c r="Q17" s="39">
        <v>104.939804281346</v>
      </c>
      <c r="R17" s="40">
        <v>2.33655688073394</v>
      </c>
      <c r="S17" s="39">
        <v>5652.1</v>
      </c>
      <c r="T17" s="39">
        <v>164.6</v>
      </c>
      <c r="U17" s="39">
        <v>2.3</v>
      </c>
      <c r="V17" s="48">
        <v>20.9</v>
      </c>
      <c r="W17" s="48">
        <v>35.41</v>
      </c>
      <c r="X17" s="48">
        <v>38.4</v>
      </c>
      <c r="Y17" s="48">
        <v>39.5</v>
      </c>
      <c r="Z17" s="41">
        <v>90.40000000000001</v>
      </c>
      <c r="AA17" s="42" cm="1">
        <f t="array" ref="AA17">Z17/1.01325</f>
        <v>89.2178633111276</v>
      </c>
      <c r="AB17" s="11"/>
      <c r="AC17" s="49">
        <v>766</v>
      </c>
      <c r="AD17" s="11"/>
      <c r="AE17" s="49">
        <v>0.656</v>
      </c>
      <c r="AF17" s="11"/>
      <c r="AG17" s="11"/>
      <c r="AH17" s="49">
        <v>0.133</v>
      </c>
      <c r="AI17" s="11"/>
      <c r="AJ17" s="11"/>
    </row>
    <row r="18" ht="12.75" customHeight="1">
      <c r="A18" s="36">
        <v>16</v>
      </c>
      <c r="B18" s="37">
        <v>11203</v>
      </c>
      <c r="C18" s="38">
        <v>39971</v>
      </c>
      <c r="D18" s="39">
        <v>3518.5</v>
      </c>
      <c r="E18" s="40">
        <v>7.94</v>
      </c>
      <c r="F18" s="39">
        <v>283.3</v>
      </c>
      <c r="G18" s="39">
        <v>210</v>
      </c>
      <c r="H18" s="39">
        <v>89.00414400535939</v>
      </c>
      <c r="I18" s="39">
        <v>282.6</v>
      </c>
      <c r="J18" s="39">
        <v>210</v>
      </c>
      <c r="K18" s="39">
        <v>89.2</v>
      </c>
      <c r="L18" s="39">
        <v>47</v>
      </c>
      <c r="M18" s="39">
        <v>24.6666296048225</v>
      </c>
      <c r="N18" s="39">
        <v>25.3</v>
      </c>
      <c r="O18" s="39">
        <v>107.344</v>
      </c>
      <c r="P18" s="39">
        <v>201.911587407904</v>
      </c>
      <c r="Q18" s="39">
        <v>38.1528091091762</v>
      </c>
      <c r="R18" s="40">
        <v>1.45508526456798</v>
      </c>
      <c r="S18" s="39">
        <v>1695.3</v>
      </c>
      <c r="T18" s="39">
        <v>62</v>
      </c>
      <c r="U18" s="39">
        <v>1.5</v>
      </c>
      <c r="V18" s="39">
        <v>30.07105</v>
      </c>
      <c r="W18" s="39">
        <v>30.1069</v>
      </c>
      <c r="X18" s="39">
        <v>37.5</v>
      </c>
      <c r="Y18" s="39">
        <v>37.5</v>
      </c>
      <c r="Z18" s="41">
        <v>91.7</v>
      </c>
      <c r="AA18" s="42" cm="1">
        <f t="array" ref="AA18">Z18/1.01325</f>
        <v>90.50086355785839</v>
      </c>
      <c r="AB18" s="11"/>
      <c r="AC18" s="49">
        <v>776.9</v>
      </c>
      <c r="AD18" s="11"/>
      <c r="AE18" s="49">
        <v>0.65</v>
      </c>
      <c r="AF18" s="11"/>
      <c r="AG18" s="11"/>
      <c r="AH18" s="49">
        <v>0.147</v>
      </c>
      <c r="AI18" s="11"/>
      <c r="AJ18" s="11"/>
    </row>
    <row r="19" ht="15" customHeight="1">
      <c r="A19" s="44"/>
      <c r="B19" s="37">
        <v>11203</v>
      </c>
      <c r="C19" s="38">
        <v>39975</v>
      </c>
      <c r="D19" s="39">
        <v>3518.5</v>
      </c>
      <c r="E19" s="40">
        <v>9.529999999999999</v>
      </c>
      <c r="F19" s="39">
        <v>278.6</v>
      </c>
      <c r="G19" s="39">
        <v>205</v>
      </c>
      <c r="H19" s="39">
        <v>91.924043067227</v>
      </c>
      <c r="I19" s="39">
        <v>276.2</v>
      </c>
      <c r="J19" s="39">
        <v>205</v>
      </c>
      <c r="K19" s="39">
        <v>91.5</v>
      </c>
      <c r="L19" s="39">
        <v>55</v>
      </c>
      <c r="M19" s="39">
        <v>34.1838350840336</v>
      </c>
      <c r="N19" s="39">
        <v>34</v>
      </c>
      <c r="O19" s="39">
        <v>107.475</v>
      </c>
      <c r="P19" s="39">
        <v>281.808298319328</v>
      </c>
      <c r="Q19" s="39">
        <v>42.7560015756303</v>
      </c>
      <c r="R19" s="40">
        <v>4.05528545168067</v>
      </c>
      <c r="S19" s="39">
        <v>2513.1</v>
      </c>
      <c r="T19" s="39">
        <v>69.5</v>
      </c>
      <c r="U19" s="39">
        <v>4.1</v>
      </c>
      <c r="V19" s="39">
        <v>30.07105</v>
      </c>
      <c r="W19" s="39">
        <v>30.1069</v>
      </c>
      <c r="X19" s="39">
        <v>37.5</v>
      </c>
      <c r="Y19" s="39">
        <v>37.5</v>
      </c>
      <c r="Z19" s="41">
        <v>89.5</v>
      </c>
      <c r="AA19" s="42" cm="1">
        <f t="array" ref="AA19">Z19/1.01325</f>
        <v>88.32963237108309</v>
      </c>
      <c r="AB19" s="11"/>
      <c r="AC19" s="49">
        <v>776.9</v>
      </c>
      <c r="AD19" s="11"/>
      <c r="AE19" s="49">
        <v>0.65</v>
      </c>
      <c r="AF19" s="11"/>
      <c r="AG19" s="11"/>
      <c r="AH19" s="49">
        <v>0.118</v>
      </c>
      <c r="AI19" s="11"/>
      <c r="AJ19" s="11"/>
    </row>
    <row r="20" ht="15" customHeight="1">
      <c r="A20" s="44"/>
      <c r="B20" s="37">
        <v>11203</v>
      </c>
      <c r="C20" s="38">
        <v>39979</v>
      </c>
      <c r="D20" s="39">
        <v>3518.5</v>
      </c>
      <c r="E20" s="40">
        <v>11.11</v>
      </c>
      <c r="F20" s="39">
        <v>275.6</v>
      </c>
      <c r="G20" s="39">
        <v>196</v>
      </c>
      <c r="H20" s="39">
        <v>92.2149917043735</v>
      </c>
      <c r="I20" s="39">
        <v>267.8</v>
      </c>
      <c r="J20" s="39">
        <v>196</v>
      </c>
      <c r="K20" s="39">
        <v>91.5</v>
      </c>
      <c r="L20" s="39">
        <v>64</v>
      </c>
      <c r="M20" s="39">
        <v>41.0058755656109</v>
      </c>
      <c r="N20" s="39">
        <v>40.5</v>
      </c>
      <c r="O20" s="39">
        <v>107.469</v>
      </c>
      <c r="P20" s="39">
        <v>358.723227752640</v>
      </c>
      <c r="Q20" s="39">
        <v>47.9968544494721</v>
      </c>
      <c r="R20" s="40">
        <v>5.52992933634992</v>
      </c>
      <c r="S20" s="39">
        <v>3325.8</v>
      </c>
      <c r="T20" s="39">
        <v>77.7</v>
      </c>
      <c r="U20" s="39">
        <v>5.7</v>
      </c>
      <c r="V20" s="39">
        <v>30.07105</v>
      </c>
      <c r="W20" s="39">
        <v>30.1069</v>
      </c>
      <c r="X20" s="39">
        <v>37.5</v>
      </c>
      <c r="Y20" s="39">
        <v>37.5</v>
      </c>
      <c r="Z20" s="41">
        <v>89.40000000000001</v>
      </c>
      <c r="AA20" s="42" cm="1">
        <f t="array" ref="AA20">Z20/1.01325</f>
        <v>88.2309400444115</v>
      </c>
      <c r="AB20" s="11"/>
      <c r="AC20" s="49">
        <v>776.9</v>
      </c>
      <c r="AD20" s="11"/>
      <c r="AE20" s="49">
        <v>0.65</v>
      </c>
      <c r="AF20" s="11"/>
      <c r="AG20" s="11"/>
      <c r="AH20" s="49">
        <v>0.104</v>
      </c>
      <c r="AI20" s="11"/>
      <c r="AJ20" s="11"/>
    </row>
    <row r="21" ht="15" customHeight="1">
      <c r="A21" s="44"/>
      <c r="B21" s="37">
        <v>11203</v>
      </c>
      <c r="C21" s="38">
        <v>39983</v>
      </c>
      <c r="D21" s="39">
        <v>3518.5</v>
      </c>
      <c r="E21" s="40">
        <v>12.7</v>
      </c>
      <c r="F21" s="39">
        <v>262.2</v>
      </c>
      <c r="G21" s="39">
        <v>186</v>
      </c>
      <c r="H21" s="39">
        <v>93.0599804037993</v>
      </c>
      <c r="I21" s="39">
        <v>259.4</v>
      </c>
      <c r="J21" s="39">
        <v>186</v>
      </c>
      <c r="K21" s="39">
        <v>86.90000000000001</v>
      </c>
      <c r="L21" s="39">
        <v>67</v>
      </c>
      <c r="M21" s="39">
        <v>45.767776128266</v>
      </c>
      <c r="N21" s="39">
        <v>45.3</v>
      </c>
      <c r="O21" s="39">
        <v>107.404</v>
      </c>
      <c r="P21" s="39">
        <v>418.472090261283</v>
      </c>
      <c r="Q21" s="39">
        <v>51.1026448931116</v>
      </c>
      <c r="R21" s="40">
        <v>6.02988527315914</v>
      </c>
      <c r="S21" s="39">
        <v>3961.2</v>
      </c>
      <c r="T21" s="39">
        <v>82</v>
      </c>
      <c r="U21" s="39">
        <v>6.2</v>
      </c>
      <c r="V21" s="39">
        <v>30.07105</v>
      </c>
      <c r="W21" s="39">
        <v>30.1069</v>
      </c>
      <c r="X21" s="39">
        <v>37.5</v>
      </c>
      <c r="Y21" s="39">
        <v>37.5</v>
      </c>
      <c r="Z21" s="41">
        <v>92.5</v>
      </c>
      <c r="AA21" s="42" cm="1">
        <f t="array" ref="AA21">Z21/1.01325</f>
        <v>91.29040217123119</v>
      </c>
      <c r="AB21" s="11"/>
      <c r="AC21" s="49">
        <v>776.9</v>
      </c>
      <c r="AD21" s="11"/>
      <c r="AE21" s="49">
        <v>0.65</v>
      </c>
      <c r="AF21" s="11"/>
      <c r="AG21" s="11"/>
      <c r="AH21" s="49">
        <v>0.095</v>
      </c>
      <c r="AI21" s="11"/>
      <c r="AJ21" s="11"/>
    </row>
    <row r="22" ht="15" customHeight="1">
      <c r="A22" s="45"/>
      <c r="B22" s="37">
        <v>11203</v>
      </c>
      <c r="C22" s="38">
        <v>39987</v>
      </c>
      <c r="D22" s="39">
        <v>3518.5</v>
      </c>
      <c r="E22" s="40">
        <v>14.29</v>
      </c>
      <c r="F22" s="39">
        <v>252.9</v>
      </c>
      <c r="G22" s="39">
        <v>170.2</v>
      </c>
      <c r="H22" s="39">
        <v>89.22870452961691</v>
      </c>
      <c r="I22" s="39">
        <v>248.2</v>
      </c>
      <c r="J22" s="39">
        <v>170</v>
      </c>
      <c r="K22" s="39">
        <v>90.2</v>
      </c>
      <c r="L22" s="39">
        <v>68</v>
      </c>
      <c r="M22" s="39">
        <v>48.6579881533101</v>
      </c>
      <c r="N22" s="39">
        <v>48.5</v>
      </c>
      <c r="O22" s="39">
        <v>107.285</v>
      </c>
      <c r="P22" s="39">
        <v>502.783275261324</v>
      </c>
      <c r="Q22" s="39">
        <v>54.7267512195121</v>
      </c>
      <c r="R22" s="40">
        <v>8.37872229965159</v>
      </c>
      <c r="S22" s="39">
        <v>5080</v>
      </c>
      <c r="T22" s="39">
        <v>86.2</v>
      </c>
      <c r="U22" s="39">
        <v>8.5</v>
      </c>
      <c r="V22" s="39">
        <v>30.07105</v>
      </c>
      <c r="W22" s="39">
        <v>30.1069</v>
      </c>
      <c r="X22" s="39">
        <v>37.5</v>
      </c>
      <c r="Y22" s="39">
        <v>37.5</v>
      </c>
      <c r="Z22" s="41">
        <v>85.2</v>
      </c>
      <c r="AA22" s="42" cm="1">
        <f t="array" ref="AA22">Z22/1.01325</f>
        <v>84.0858623242043</v>
      </c>
      <c r="AB22" s="11"/>
      <c r="AC22" s="49">
        <v>776.9</v>
      </c>
      <c r="AD22" s="11"/>
      <c r="AE22" s="49">
        <v>0.65</v>
      </c>
      <c r="AF22" s="11"/>
      <c r="AG22" s="11"/>
      <c r="AH22" s="49">
        <v>0.08500000000000001</v>
      </c>
      <c r="AI22" s="11"/>
      <c r="AJ22" s="11"/>
    </row>
    <row r="23" ht="12.75" customHeight="1">
      <c r="A23" s="36">
        <v>17</v>
      </c>
      <c r="B23" s="37">
        <v>11203</v>
      </c>
      <c r="C23" s="38">
        <v>40336</v>
      </c>
      <c r="D23" s="39">
        <v>3520.6</v>
      </c>
      <c r="E23" s="37">
        <v>9.529999999999999</v>
      </c>
      <c r="F23" s="39">
        <v>251</v>
      </c>
      <c r="G23" s="39">
        <v>183</v>
      </c>
      <c r="H23" s="39">
        <v>96.4103314917129</v>
      </c>
      <c r="I23" s="39">
        <v>251.1</v>
      </c>
      <c r="J23" s="39">
        <v>183</v>
      </c>
      <c r="K23" s="39">
        <v>96.40000000000001</v>
      </c>
      <c r="L23" s="39">
        <v>54</v>
      </c>
      <c r="M23" s="39">
        <v>36.2286045777427</v>
      </c>
      <c r="N23" s="39">
        <v>36.2</v>
      </c>
      <c r="O23" s="39">
        <v>106.5</v>
      </c>
      <c r="P23" s="39">
        <v>250.516179952644</v>
      </c>
      <c r="Q23" s="39">
        <v>38.0066495659038</v>
      </c>
      <c r="R23" s="40">
        <v>0.616648476716653</v>
      </c>
      <c r="S23" s="39">
        <v>2102.4</v>
      </c>
      <c r="T23" s="39">
        <v>62</v>
      </c>
      <c r="U23" s="39">
        <v>0.6</v>
      </c>
      <c r="V23" s="39">
        <v>30.07105</v>
      </c>
      <c r="W23" s="39">
        <v>27.41</v>
      </c>
      <c r="X23" s="39">
        <v>35.8</v>
      </c>
      <c r="Y23" s="39">
        <v>35.8</v>
      </c>
      <c r="Z23" s="41">
        <v>96</v>
      </c>
      <c r="AA23" s="42" cm="1">
        <f t="array" ref="AA23">Z23/1.01325</f>
        <v>94.7446336047372</v>
      </c>
      <c r="AB23" s="11"/>
      <c r="AC23" s="49">
        <v>769.8</v>
      </c>
      <c r="AD23" s="11"/>
      <c r="AE23" s="49">
        <v>0.666</v>
      </c>
      <c r="AF23" s="11"/>
      <c r="AG23" s="11"/>
      <c r="AH23" s="49">
        <v>0.117</v>
      </c>
      <c r="AI23" s="11"/>
      <c r="AJ23" s="11"/>
    </row>
    <row r="24" ht="15" customHeight="1">
      <c r="A24" s="44"/>
      <c r="B24" s="37">
        <v>11203</v>
      </c>
      <c r="C24" s="38">
        <v>40339</v>
      </c>
      <c r="D24" s="39">
        <v>3520.6</v>
      </c>
      <c r="E24" s="39">
        <v>11.11</v>
      </c>
      <c r="F24" s="39">
        <v>247.6</v>
      </c>
      <c r="G24" s="39">
        <v>175.555555555556</v>
      </c>
      <c r="H24" s="39">
        <v>99.33529558541279</v>
      </c>
      <c r="I24" s="39">
        <v>246</v>
      </c>
      <c r="J24" s="39">
        <v>175</v>
      </c>
      <c r="K24" s="39">
        <v>99.3</v>
      </c>
      <c r="L24" s="39">
        <v>56</v>
      </c>
      <c r="M24" s="39">
        <v>42.5428627639155</v>
      </c>
      <c r="N24" s="39">
        <v>42.5</v>
      </c>
      <c r="O24" s="39">
        <v>106.5</v>
      </c>
      <c r="P24" s="39">
        <v>320.574856046065</v>
      </c>
      <c r="Q24" s="39">
        <v>43.0365911708253</v>
      </c>
      <c r="R24" s="40">
        <v>0.693855690978885</v>
      </c>
      <c r="S24" s="39">
        <v>2784.7</v>
      </c>
      <c r="T24" s="39">
        <v>70.7</v>
      </c>
      <c r="U24" s="39">
        <v>0.7</v>
      </c>
      <c r="V24" s="39">
        <v>30.07105</v>
      </c>
      <c r="W24" s="39">
        <v>27.41</v>
      </c>
      <c r="X24" s="39">
        <v>35.8</v>
      </c>
      <c r="Y24" s="39">
        <v>35.8</v>
      </c>
      <c r="Z24" s="41">
        <v>95.5</v>
      </c>
      <c r="AA24" s="42" cm="1">
        <f t="array" ref="AA24">Z24/1.01325</f>
        <v>94.25117197137919</v>
      </c>
      <c r="AB24" s="11"/>
      <c r="AC24" s="49">
        <v>769.8</v>
      </c>
      <c r="AD24" s="11"/>
      <c r="AE24" s="49">
        <v>0.666</v>
      </c>
      <c r="AF24" s="11"/>
      <c r="AG24" s="11"/>
      <c r="AH24" s="49">
        <v>0.103</v>
      </c>
      <c r="AI24" s="11"/>
      <c r="AJ24" s="11"/>
    </row>
    <row r="25" ht="15" customHeight="1">
      <c r="A25" s="44"/>
      <c r="B25" s="37">
        <v>11203</v>
      </c>
      <c r="C25" s="38">
        <v>40342</v>
      </c>
      <c r="D25" s="39">
        <v>3520.6</v>
      </c>
      <c r="E25" s="39">
        <v>12.7</v>
      </c>
      <c r="F25" s="39">
        <v>241.7</v>
      </c>
      <c r="G25" s="39">
        <v>168.130434782609</v>
      </c>
      <c r="H25" s="39">
        <v>101.142616541353</v>
      </c>
      <c r="I25" s="39">
        <v>240</v>
      </c>
      <c r="J25" s="39">
        <v>167</v>
      </c>
      <c r="K25" s="39">
        <v>101.3</v>
      </c>
      <c r="L25" s="39">
        <v>59</v>
      </c>
      <c r="M25" s="39">
        <v>47.3911609022557</v>
      </c>
      <c r="N25" s="39">
        <v>47.1</v>
      </c>
      <c r="O25" s="39">
        <v>106.5</v>
      </c>
      <c r="P25" s="39">
        <v>379.854135338346</v>
      </c>
      <c r="Q25" s="39">
        <v>45.4180406015038</v>
      </c>
      <c r="R25" s="40">
        <v>4.35780120300752</v>
      </c>
      <c r="S25" s="39">
        <v>3320</v>
      </c>
      <c r="T25" s="39">
        <v>73.59999999999999</v>
      </c>
      <c r="U25" s="39">
        <v>4.2</v>
      </c>
      <c r="V25" s="39">
        <v>30.07105</v>
      </c>
      <c r="W25" s="39">
        <v>27.41</v>
      </c>
      <c r="X25" s="39">
        <v>35.8</v>
      </c>
      <c r="Y25" s="39">
        <v>35.8</v>
      </c>
      <c r="Z25" s="41">
        <v>97.2</v>
      </c>
      <c r="AA25" s="42" cm="1">
        <f t="array" ref="AA25">Z25/1.01325</f>
        <v>95.9289415247964</v>
      </c>
      <c r="AB25" s="11"/>
      <c r="AC25" s="49">
        <v>769.8</v>
      </c>
      <c r="AD25" s="11"/>
      <c r="AE25" s="49">
        <v>0.666</v>
      </c>
      <c r="AF25" s="11"/>
      <c r="AG25" s="11"/>
      <c r="AH25" s="49">
        <v>0.092</v>
      </c>
      <c r="AI25" s="11"/>
      <c r="AJ25" s="11"/>
    </row>
    <row r="26" ht="15" customHeight="1">
      <c r="A26" s="45"/>
      <c r="B26" s="37">
        <v>11203</v>
      </c>
      <c r="C26" s="38">
        <v>40345</v>
      </c>
      <c r="D26" s="39">
        <v>3520.6</v>
      </c>
      <c r="E26" s="37">
        <v>14.29</v>
      </c>
      <c r="F26" s="39">
        <v>235.7</v>
      </c>
      <c r="G26" s="39">
        <v>157</v>
      </c>
      <c r="H26" s="39">
        <v>105.413176855895</v>
      </c>
      <c r="I26" s="39">
        <v>232.4</v>
      </c>
      <c r="J26" s="39">
        <v>157</v>
      </c>
      <c r="K26" s="39">
        <v>105.4</v>
      </c>
      <c r="L26" s="39">
        <v>59</v>
      </c>
      <c r="M26" s="39">
        <v>52.5156572052402</v>
      </c>
      <c r="N26" s="39">
        <v>52.2</v>
      </c>
      <c r="O26" s="39">
        <v>106.4</v>
      </c>
      <c r="P26" s="39">
        <v>441.992358078603</v>
      </c>
      <c r="Q26" s="39">
        <v>50.4329759825327</v>
      </c>
      <c r="R26" s="40">
        <v>5.01410840611355</v>
      </c>
      <c r="S26" s="39">
        <v>3893.3</v>
      </c>
      <c r="T26" s="39">
        <v>82.90000000000001</v>
      </c>
      <c r="U26" s="39">
        <v>7.2</v>
      </c>
      <c r="V26" s="39">
        <v>30.07105</v>
      </c>
      <c r="W26" s="39">
        <v>27.41</v>
      </c>
      <c r="X26" s="39">
        <v>35.8</v>
      </c>
      <c r="Y26" s="39">
        <v>35.8</v>
      </c>
      <c r="Z26" s="41">
        <v>97</v>
      </c>
      <c r="AA26" s="42" cm="1">
        <f t="array" ref="AA26">Z26/1.01325</f>
        <v>95.73155687145319</v>
      </c>
      <c r="AB26" s="11"/>
      <c r="AC26" s="49">
        <v>769.8</v>
      </c>
      <c r="AD26" s="11"/>
      <c r="AE26" s="49">
        <v>0.666</v>
      </c>
      <c r="AF26" s="11"/>
      <c r="AG26" s="11"/>
      <c r="AH26" s="49">
        <v>0.08799999999999999</v>
      </c>
      <c r="AI26" s="11"/>
      <c r="AJ26" s="11"/>
    </row>
    <row r="27" ht="15" customHeight="1">
      <c r="A27" s="46">
        <v>5</v>
      </c>
      <c r="B27" s="37">
        <v>11203</v>
      </c>
      <c r="C27" s="38">
        <v>40757.752083333333</v>
      </c>
      <c r="D27" t="s" s="47">
        <v>44</v>
      </c>
      <c r="E27" s="39">
        <v>9.529999999999999</v>
      </c>
      <c r="F27" t="s" s="47">
        <v>44</v>
      </c>
      <c r="G27" s="39">
        <v>173</v>
      </c>
      <c r="H27" s="39">
        <v>93.4251404109587</v>
      </c>
      <c r="I27" t="s" s="47">
        <v>44</v>
      </c>
      <c r="J27" s="39">
        <v>173</v>
      </c>
      <c r="K27" s="39">
        <v>92.40000000000001</v>
      </c>
      <c r="L27" s="39">
        <v>53</v>
      </c>
      <c r="M27" s="39">
        <v>35.8375719178082</v>
      </c>
      <c r="N27" t="s" s="47">
        <v>44</v>
      </c>
      <c r="O27" t="s" s="47">
        <v>44</v>
      </c>
      <c r="P27" s="39">
        <v>235.7</v>
      </c>
      <c r="Q27" s="39">
        <v>31</v>
      </c>
      <c r="R27" s="39">
        <v>0.5</v>
      </c>
      <c r="S27" s="39">
        <v>2081</v>
      </c>
      <c r="T27" s="39">
        <v>51.5</v>
      </c>
      <c r="U27" t="s" s="47">
        <v>45</v>
      </c>
      <c r="V27" s="39">
        <v>30.1</v>
      </c>
      <c r="W27" t="s" s="47">
        <v>44</v>
      </c>
      <c r="X27" t="s" s="47">
        <v>44</v>
      </c>
      <c r="Y27" t="s" s="47">
        <v>44</v>
      </c>
      <c r="Z27" s="41">
        <v>90.3</v>
      </c>
      <c r="AA27" s="42" cm="1">
        <f t="array" ref="AA27">Z27/1.01325</f>
        <v>89.11917098445601</v>
      </c>
      <c r="AB27" s="11"/>
      <c r="AC27" s="49">
        <v>765.3</v>
      </c>
      <c r="AD27" s="11"/>
      <c r="AE27" s="49">
        <v>0.665</v>
      </c>
      <c r="AF27" s="11"/>
      <c r="AG27" s="11"/>
      <c r="AH27" s="49">
        <v>0.101</v>
      </c>
      <c r="AI27" s="11"/>
      <c r="AJ27" s="11"/>
    </row>
    <row r="28" ht="12.75" customHeight="1">
      <c r="A28" s="50">
        <v>1</v>
      </c>
      <c r="B28" s="51">
        <v>11206</v>
      </c>
      <c r="C28" s="52">
        <v>38217</v>
      </c>
      <c r="D28" s="39">
        <v>3608.5</v>
      </c>
      <c r="E28" s="37">
        <v>7.93</v>
      </c>
      <c r="F28" s="39">
        <v>363.258231</v>
      </c>
      <c r="G28" s="39">
        <v>262.1784375</v>
      </c>
      <c r="H28" t="s" s="47">
        <v>44</v>
      </c>
      <c r="I28" s="39"/>
      <c r="J28" s="39"/>
      <c r="K28" s="53"/>
      <c r="L28" s="39">
        <v>27.66</v>
      </c>
      <c r="M28" t="s" s="47">
        <v>44</v>
      </c>
      <c r="N28" t="s" s="47">
        <v>44</v>
      </c>
      <c r="O28" s="37">
        <v>108.9</v>
      </c>
      <c r="P28" s="39">
        <v>192.5</v>
      </c>
      <c r="Q28" s="39">
        <v>54</v>
      </c>
      <c r="R28" s="40">
        <v>1.1</v>
      </c>
      <c r="S28" s="39"/>
      <c r="T28" s="39"/>
      <c r="U28" s="39"/>
      <c r="V28" s="39">
        <v>18</v>
      </c>
      <c r="W28" s="39">
        <v>39.092</v>
      </c>
      <c r="X28" s="39">
        <v>49.3</v>
      </c>
      <c r="Y28" s="39">
        <v>49.3</v>
      </c>
      <c r="Z28" s="41"/>
      <c r="AA28" s="42" cm="1">
        <f t="array" ref="AA28">Z28/1.01325</f>
        <v>0</v>
      </c>
      <c r="AB28" s="11"/>
      <c r="AC28" s="11"/>
      <c r="AD28" s="11"/>
      <c r="AE28" s="11"/>
      <c r="AF28" s="11"/>
      <c r="AG28" s="11"/>
      <c r="AH28" s="11"/>
      <c r="AI28" s="11"/>
      <c r="AJ28" s="11"/>
    </row>
    <row r="29" ht="12.75" customHeight="1">
      <c r="A29" s="54"/>
      <c r="B29" s="51">
        <v>11206</v>
      </c>
      <c r="C29" s="52">
        <v>38218</v>
      </c>
      <c r="D29" s="39">
        <v>3608.5</v>
      </c>
      <c r="E29" s="37">
        <v>11.1</v>
      </c>
      <c r="F29" s="39">
        <v>352.7710935</v>
      </c>
      <c r="G29" s="39">
        <v>248.7022125</v>
      </c>
      <c r="H29" t="s" s="47">
        <v>44</v>
      </c>
      <c r="I29" s="39"/>
      <c r="J29" s="39"/>
      <c r="K29" s="53"/>
      <c r="L29" s="39">
        <v>37.17</v>
      </c>
      <c r="M29" t="s" s="47">
        <v>44</v>
      </c>
      <c r="N29" t="s" s="47">
        <v>44</v>
      </c>
      <c r="O29" s="37">
        <v>108.9</v>
      </c>
      <c r="P29" s="39">
        <v>351.4</v>
      </c>
      <c r="Q29" s="39">
        <v>84.09999999999999</v>
      </c>
      <c r="R29" s="40">
        <v>3.5</v>
      </c>
      <c r="S29" s="39"/>
      <c r="T29" s="39"/>
      <c r="U29" s="39"/>
      <c r="V29" s="39">
        <v>18</v>
      </c>
      <c r="W29" s="39">
        <v>39.092</v>
      </c>
      <c r="X29" s="39">
        <v>49.3</v>
      </c>
      <c r="Y29" s="39">
        <v>49.3</v>
      </c>
      <c r="Z29" s="41"/>
      <c r="AA29" s="42" cm="1">
        <f t="array" ref="AA29">Z29/1.01325</f>
        <v>0</v>
      </c>
      <c r="AB29" s="11"/>
      <c r="AC29" s="11"/>
      <c r="AD29" s="11"/>
      <c r="AE29" s="11"/>
      <c r="AF29" s="11"/>
      <c r="AG29" s="11"/>
      <c r="AH29" s="11"/>
      <c r="AI29" s="11"/>
      <c r="AJ29" s="11"/>
    </row>
    <row r="30" ht="12.75" customHeight="1">
      <c r="A30" s="54"/>
      <c r="B30" s="51">
        <v>11206</v>
      </c>
      <c r="C30" s="52">
        <v>38218</v>
      </c>
      <c r="D30" s="39">
        <v>3608.5</v>
      </c>
      <c r="E30" s="37">
        <v>14.29</v>
      </c>
      <c r="F30" s="39">
        <v>340.88668425</v>
      </c>
      <c r="G30" s="39">
        <v>226.1067375</v>
      </c>
      <c r="H30" t="s" s="47">
        <v>44</v>
      </c>
      <c r="I30" s="39"/>
      <c r="J30" s="39"/>
      <c r="K30" s="53"/>
      <c r="L30" s="39">
        <v>40.25</v>
      </c>
      <c r="M30" t="s" s="47">
        <v>44</v>
      </c>
      <c r="N30" t="s" s="47">
        <v>44</v>
      </c>
      <c r="O30" s="37">
        <v>108.8</v>
      </c>
      <c r="P30" s="39">
        <v>563</v>
      </c>
      <c r="Q30" s="39">
        <v>117.1</v>
      </c>
      <c r="R30" s="40">
        <v>10.1</v>
      </c>
      <c r="S30" s="39"/>
      <c r="T30" s="39"/>
      <c r="U30" s="39"/>
      <c r="V30" s="39">
        <v>18</v>
      </c>
      <c r="W30" s="39">
        <v>39.092</v>
      </c>
      <c r="X30" s="39">
        <v>49.3</v>
      </c>
      <c r="Y30" s="39">
        <v>49.3</v>
      </c>
      <c r="Z30" s="41"/>
      <c r="AA30" s="42" cm="1">
        <f t="array" ref="AA30">Z30/1.01325</f>
        <v>0</v>
      </c>
      <c r="AB30" s="11"/>
      <c r="AC30" s="11"/>
      <c r="AD30" s="11"/>
      <c r="AE30" s="11"/>
      <c r="AF30" s="11"/>
      <c r="AG30" s="11"/>
      <c r="AH30" s="11"/>
      <c r="AI30" s="11"/>
      <c r="AJ30" s="11"/>
    </row>
    <row r="31" ht="12.75" customHeight="1">
      <c r="A31" s="55"/>
      <c r="B31" s="51">
        <v>11206</v>
      </c>
      <c r="C31" s="52">
        <v>38219.167534722219</v>
      </c>
      <c r="D31" s="39">
        <v>3608.5</v>
      </c>
      <c r="E31" s="37">
        <v>17.4</v>
      </c>
      <c r="F31" s="39">
        <v>327.150054</v>
      </c>
      <c r="G31" s="39">
        <v>197.2493775</v>
      </c>
      <c r="H31" t="s" s="47">
        <v>44</v>
      </c>
      <c r="I31" s="39"/>
      <c r="J31" s="39"/>
      <c r="K31" s="53"/>
      <c r="L31" s="39">
        <v>46.23</v>
      </c>
      <c r="M31" t="s" s="47">
        <v>44</v>
      </c>
      <c r="N31" t="s" s="47">
        <v>44</v>
      </c>
      <c r="O31" s="37">
        <v>108.6</v>
      </c>
      <c r="P31" s="39">
        <v>693</v>
      </c>
      <c r="Q31" s="39">
        <v>132.4</v>
      </c>
      <c r="R31" s="40">
        <v>14.7</v>
      </c>
      <c r="S31" s="39"/>
      <c r="T31" s="39"/>
      <c r="U31" s="39"/>
      <c r="V31" s="39">
        <v>18</v>
      </c>
      <c r="W31" s="39">
        <v>39.092</v>
      </c>
      <c r="X31" s="39">
        <v>49.3</v>
      </c>
      <c r="Y31" s="39">
        <v>49.3</v>
      </c>
      <c r="Z31" s="41"/>
      <c r="AA31" s="42" cm="1">
        <f t="array" ref="AA31">Z31/1.01325</f>
        <v>0</v>
      </c>
      <c r="AB31" s="11"/>
      <c r="AC31" s="11"/>
      <c r="AD31" s="11"/>
      <c r="AE31" s="11"/>
      <c r="AF31" s="11"/>
      <c r="AG31" s="11"/>
      <c r="AH31" s="11"/>
      <c r="AI31" s="11"/>
      <c r="AJ31" s="11"/>
    </row>
    <row r="32" ht="12.75" customHeight="1">
      <c r="A32" s="56"/>
      <c r="B32" s="51">
        <v>11206</v>
      </c>
      <c r="C32" s="52">
        <v>39017</v>
      </c>
      <c r="D32" s="39">
        <v>3608.5</v>
      </c>
      <c r="E32" s="37">
        <v>7.94</v>
      </c>
      <c r="F32" t="s" s="47">
        <v>44</v>
      </c>
      <c r="G32" t="s" s="47">
        <v>44</v>
      </c>
      <c r="H32" s="37">
        <v>71.6602510646388</v>
      </c>
      <c r="I32" s="39"/>
      <c r="J32" s="39"/>
      <c r="K32" s="53"/>
      <c r="L32" s="39"/>
      <c r="M32" s="37">
        <v>42.3139217870723</v>
      </c>
      <c r="N32" s="39"/>
      <c r="O32" s="53"/>
      <c r="P32" s="39"/>
      <c r="Q32" s="39"/>
      <c r="R32" s="40"/>
      <c r="S32" s="39"/>
      <c r="T32" s="39"/>
      <c r="U32" s="39"/>
      <c r="V32" s="39">
        <v>18</v>
      </c>
      <c r="W32" s="39">
        <v>37.8</v>
      </c>
      <c r="X32" s="39"/>
      <c r="Y32" s="39"/>
      <c r="Z32" s="41">
        <v>79.0384615384615</v>
      </c>
      <c r="AA32" s="42" cm="1">
        <f t="array" ref="AA32">Z32/1.01325</f>
        <v>78.0048966577464</v>
      </c>
      <c r="AB32" s="11"/>
      <c r="AC32" s="11"/>
      <c r="AD32" s="11"/>
      <c r="AE32" s="11"/>
      <c r="AF32" s="11"/>
      <c r="AG32" s="11"/>
      <c r="AH32" s="11"/>
      <c r="AI32" s="11"/>
      <c r="AJ32" s="11"/>
    </row>
    <row r="33" ht="12.75" customHeight="1">
      <c r="A33" s="54"/>
      <c r="B33" s="51">
        <v>11206</v>
      </c>
      <c r="C33" s="52">
        <v>39019</v>
      </c>
      <c r="D33" s="39">
        <v>3608.5</v>
      </c>
      <c r="E33" s="37">
        <v>9.529999999999999</v>
      </c>
      <c r="F33" t="s" s="47">
        <v>44</v>
      </c>
      <c r="G33" t="s" s="47">
        <v>44</v>
      </c>
      <c r="H33" s="37">
        <v>71.563844055944</v>
      </c>
      <c r="I33" s="39"/>
      <c r="J33" s="39"/>
      <c r="K33" s="53"/>
      <c r="L33" s="39"/>
      <c r="M33" s="37">
        <v>42.8980768531469</v>
      </c>
      <c r="N33" s="39"/>
      <c r="O33" s="53"/>
      <c r="P33" s="39"/>
      <c r="Q33" s="39"/>
      <c r="R33" s="40"/>
      <c r="S33" s="39"/>
      <c r="T33" s="39"/>
      <c r="U33" s="39"/>
      <c r="V33" s="39">
        <v>18</v>
      </c>
      <c r="W33" s="39">
        <v>37.8</v>
      </c>
      <c r="X33" s="39"/>
      <c r="Y33" s="39"/>
      <c r="Z33" s="41">
        <v>79.6384615384615</v>
      </c>
      <c r="AA33" s="42" cm="1">
        <f t="array" ref="AA33">Z33/1.01325</f>
        <v>78.59705061777601</v>
      </c>
      <c r="AB33" s="11"/>
      <c r="AC33" s="11"/>
      <c r="AD33" s="11"/>
      <c r="AE33" s="11"/>
      <c r="AF33" s="11"/>
      <c r="AG33" s="11"/>
      <c r="AH33" s="11"/>
      <c r="AI33" s="11"/>
      <c r="AJ33" s="11"/>
    </row>
    <row r="34" ht="12.75" customHeight="1">
      <c r="A34" s="54"/>
      <c r="B34" s="51">
        <v>11206</v>
      </c>
      <c r="C34" s="52">
        <v>39020</v>
      </c>
      <c r="D34" s="39">
        <v>3608.5</v>
      </c>
      <c r="E34" s="37">
        <v>11.11</v>
      </c>
      <c r="F34" t="s" s="47">
        <v>44</v>
      </c>
      <c r="G34" t="s" s="47">
        <v>44</v>
      </c>
      <c r="H34" s="37">
        <v>71.7629328323699</v>
      </c>
      <c r="I34" s="39"/>
      <c r="J34" s="39"/>
      <c r="K34" s="53"/>
      <c r="L34" s="39"/>
      <c r="M34" s="37">
        <v>44.5562317052023</v>
      </c>
      <c r="N34" s="39"/>
      <c r="O34" s="53"/>
      <c r="P34" s="39"/>
      <c r="Q34" s="39"/>
      <c r="R34" s="40"/>
      <c r="S34" s="39"/>
      <c r="T34" s="39"/>
      <c r="U34" s="39"/>
      <c r="V34" s="39">
        <v>18</v>
      </c>
      <c r="W34" s="39">
        <v>37.8</v>
      </c>
      <c r="X34" s="39"/>
      <c r="Y34" s="39"/>
      <c r="Z34" s="41">
        <v>80.5076923076923</v>
      </c>
      <c r="AA34" s="42" cm="1">
        <f t="array" ref="AA34">Z34/1.01325</f>
        <v>79.45491468807531</v>
      </c>
      <c r="AB34" s="11"/>
      <c r="AC34" s="11"/>
      <c r="AD34" s="11"/>
      <c r="AE34" s="11"/>
      <c r="AF34" s="11"/>
      <c r="AG34" s="11"/>
      <c r="AH34" s="11"/>
      <c r="AI34" s="11"/>
      <c r="AJ34" s="11"/>
    </row>
    <row r="35" ht="12.75" customHeight="1">
      <c r="A35" s="55"/>
      <c r="B35" s="51">
        <v>11206</v>
      </c>
      <c r="C35" s="52">
        <v>39021</v>
      </c>
      <c r="D35" s="39">
        <v>3608.5</v>
      </c>
      <c r="E35" s="37">
        <v>14.29</v>
      </c>
      <c r="F35" t="s" s="47">
        <v>44</v>
      </c>
      <c r="G35" t="s" s="47">
        <v>44</v>
      </c>
      <c r="H35" s="37">
        <v>71.44853349315071</v>
      </c>
      <c r="I35" s="39"/>
      <c r="J35" s="39"/>
      <c r="K35" s="53"/>
      <c r="L35" s="39"/>
      <c r="M35" s="37">
        <v>41.5532902054794</v>
      </c>
      <c r="N35" s="39"/>
      <c r="O35" s="53"/>
      <c r="P35" s="39"/>
      <c r="Q35" s="39"/>
      <c r="R35" s="40"/>
      <c r="S35" s="39"/>
      <c r="T35" s="39"/>
      <c r="U35" s="39"/>
      <c r="V35" s="39">
        <v>18</v>
      </c>
      <c r="W35" s="39">
        <v>37.8</v>
      </c>
      <c r="X35" s="39"/>
      <c r="Y35" s="39"/>
      <c r="Z35" s="41">
        <v>78.59999999999999</v>
      </c>
      <c r="AA35" s="42" cm="1">
        <f t="array" ref="AA35">Z35/1.01325</f>
        <v>77.57216876387859</v>
      </c>
      <c r="AB35" s="11"/>
      <c r="AC35" s="5"/>
      <c r="AD35" s="11"/>
      <c r="AE35" s="11"/>
      <c r="AF35" s="11"/>
      <c r="AG35" s="11"/>
      <c r="AH35" s="5"/>
      <c r="AI35" s="11"/>
      <c r="AJ35" s="11"/>
    </row>
    <row r="36" ht="15" customHeight="1">
      <c r="A36" s="36">
        <v>1</v>
      </c>
      <c r="B36" s="37">
        <v>11206</v>
      </c>
      <c r="C36" s="57">
        <v>39311</v>
      </c>
      <c r="D36" s="39">
        <v>3608.5</v>
      </c>
      <c r="E36" s="37">
        <v>8</v>
      </c>
      <c r="F36" s="39">
        <v>328.5</v>
      </c>
      <c r="G36" s="39">
        <v>247.88</v>
      </c>
      <c r="H36" s="39">
        <v>89.88574603174609</v>
      </c>
      <c r="I36" s="39">
        <v>329</v>
      </c>
      <c r="J36" s="39">
        <v>246</v>
      </c>
      <c r="K36" s="39">
        <v>89.90000000000001</v>
      </c>
      <c r="L36" s="39">
        <v>33</v>
      </c>
      <c r="M36" s="39">
        <v>21.6791507936508</v>
      </c>
      <c r="N36" t="s" s="47">
        <v>44</v>
      </c>
      <c r="O36" s="39">
        <v>108.22</v>
      </c>
      <c r="P36" s="39">
        <v>237.792380952381</v>
      </c>
      <c r="Q36" s="39">
        <v>45.0654126984127</v>
      </c>
      <c r="R36" s="40">
        <v>3.07478571428571</v>
      </c>
      <c r="S36" s="39">
        <v>1988.8</v>
      </c>
      <c r="T36" s="39">
        <v>72.2</v>
      </c>
      <c r="U36" s="39">
        <v>3.1</v>
      </c>
      <c r="V36" s="39">
        <v>18</v>
      </c>
      <c r="W36" s="39">
        <v>36.51</v>
      </c>
      <c r="X36" s="39">
        <v>44.5</v>
      </c>
      <c r="Y36" s="39">
        <v>44.5</v>
      </c>
      <c r="Z36" s="41">
        <v>88.40000000000001</v>
      </c>
      <c r="AA36" s="42" cm="1">
        <f t="array" ref="AA36">Z36/1.01325</f>
        <v>87.24401677769551</v>
      </c>
      <c r="AB36" s="58" cm="1">
        <f t="array" ref="AB36">AE36*1.204</f>
        <v>0.801864</v>
      </c>
      <c r="AC36" s="59">
        <v>777.682</v>
      </c>
      <c r="AD36" s="60">
        <v>1000</v>
      </c>
      <c r="AE36" s="49">
        <v>0.666</v>
      </c>
      <c r="AF36" s="49" cm="1">
        <f t="array" ref="AF36">(AB36*P36*1000+AC36*Q36+R36*AD36)/24/3600</f>
        <v>2.64813073787515</v>
      </c>
      <c r="AG36" s="61" cm="1">
        <f t="array" ref="AG36">AH36*1000</f>
        <v>147.496127714763</v>
      </c>
      <c r="AH36" s="62">
        <v>0.147496127714763</v>
      </c>
      <c r="AI36" s="63"/>
      <c r="AJ36" s="11"/>
    </row>
    <row r="37" ht="15" customHeight="1">
      <c r="A37" s="44"/>
      <c r="B37" s="37">
        <v>11206</v>
      </c>
      <c r="C37" s="57">
        <v>39311</v>
      </c>
      <c r="D37" s="39">
        <v>3608.5</v>
      </c>
      <c r="E37" s="37">
        <v>9.529999999999999</v>
      </c>
      <c r="F37" s="39">
        <v>316</v>
      </c>
      <c r="G37" s="39">
        <v>230</v>
      </c>
      <c r="H37" s="39">
        <v>91.3606940874036</v>
      </c>
      <c r="I37" s="39">
        <v>316.5</v>
      </c>
      <c r="J37" s="39">
        <v>230</v>
      </c>
      <c r="K37" s="39">
        <v>91.5</v>
      </c>
      <c r="L37" s="39">
        <v>52</v>
      </c>
      <c r="M37" s="39">
        <v>29.9857583547558</v>
      </c>
      <c r="N37" t="s" s="47">
        <v>44</v>
      </c>
      <c r="O37" s="39">
        <v>108.05</v>
      </c>
      <c r="P37" s="39">
        <v>319.555115681234</v>
      </c>
      <c r="Q37" s="39">
        <v>57.9235269922879</v>
      </c>
      <c r="R37" s="40">
        <v>3.30739151670951</v>
      </c>
      <c r="S37" s="39">
        <v>2793.538570241060</v>
      </c>
      <c r="T37" s="39">
        <v>95.7</v>
      </c>
      <c r="U37" s="39">
        <v>3.5</v>
      </c>
      <c r="V37" s="39">
        <v>18</v>
      </c>
      <c r="W37" s="39">
        <v>36.51</v>
      </c>
      <c r="X37" s="39">
        <v>44.5</v>
      </c>
      <c r="Y37" s="39">
        <v>44.5</v>
      </c>
      <c r="Z37" s="41">
        <v>88.40000000000001</v>
      </c>
      <c r="AA37" s="42" cm="1">
        <f t="array" ref="AA37">Z37/1.01325</f>
        <v>87.24401677769551</v>
      </c>
      <c r="AB37" s="58" cm="1">
        <f t="array" ref="AB37">AE37*1.204</f>
        <v>0.801864</v>
      </c>
      <c r="AC37" s="59">
        <v>771</v>
      </c>
      <c r="AD37" s="60">
        <v>1000</v>
      </c>
      <c r="AE37" s="49">
        <v>0.666</v>
      </c>
      <c r="AF37" s="49" cm="1">
        <f t="array" ref="AF37">(AB37*P37*1000+AC37*Q37+R37*AD37)/24/3600</f>
        <v>3.52090479292107</v>
      </c>
      <c r="AG37" s="49" cm="1">
        <f t="array" ref="AG37">AH37*1000</f>
        <v>139.697035034021</v>
      </c>
      <c r="AH37" s="64">
        <v>0.139697035034021</v>
      </c>
      <c r="AI37" s="11"/>
      <c r="AJ37" s="11"/>
    </row>
    <row r="38" ht="15" customHeight="1">
      <c r="A38" s="44"/>
      <c r="B38" s="37">
        <v>11206</v>
      </c>
      <c r="C38" s="57">
        <v>39312</v>
      </c>
      <c r="D38" s="39">
        <v>3608.5</v>
      </c>
      <c r="E38" s="37">
        <v>11.11</v>
      </c>
      <c r="F38" s="39">
        <v>300.8</v>
      </c>
      <c r="G38" s="39">
        <v>214</v>
      </c>
      <c r="H38" s="39">
        <v>94.1264041297936</v>
      </c>
      <c r="I38" s="39">
        <v>301.3</v>
      </c>
      <c r="J38" s="39">
        <v>214</v>
      </c>
      <c r="K38" s="39">
        <v>94</v>
      </c>
      <c r="L38" s="39">
        <v>58</v>
      </c>
      <c r="M38" s="39">
        <v>37.9861179941003</v>
      </c>
      <c r="N38" t="s" s="47">
        <v>44</v>
      </c>
      <c r="O38" s="39">
        <v>107.72</v>
      </c>
      <c r="P38" s="39">
        <v>393.3998820059</v>
      </c>
      <c r="Q38" s="39">
        <v>72.86625663716811</v>
      </c>
      <c r="R38" s="40">
        <v>2.0811197640118</v>
      </c>
      <c r="S38" s="39">
        <v>3543.732203389830</v>
      </c>
      <c r="T38" s="39">
        <v>114.1</v>
      </c>
      <c r="U38" s="39">
        <v>2.1</v>
      </c>
      <c r="V38" s="39">
        <v>18</v>
      </c>
      <c r="W38" s="39">
        <v>36.51</v>
      </c>
      <c r="X38" s="39">
        <v>44.5</v>
      </c>
      <c r="Y38" s="39">
        <v>44.5</v>
      </c>
      <c r="Z38" s="41">
        <v>92.90000000000001</v>
      </c>
      <c r="AA38" s="42" cm="1">
        <f t="array" ref="AA38">Z38/1.01325</f>
        <v>91.68517147791761</v>
      </c>
      <c r="AB38" s="58" cm="1">
        <f t="array" ref="AB38">AE38*1.204</f>
        <v>0.801864</v>
      </c>
      <c r="AC38" s="59">
        <v>778</v>
      </c>
      <c r="AD38" s="60">
        <v>1000</v>
      </c>
      <c r="AE38" s="49">
        <v>0.666</v>
      </c>
      <c r="AF38" s="49" cm="1">
        <f t="array" ref="AF38">(AB38*P38*1000+AC38*Q38+R38*AD38)/24/3600</f>
        <v>4.33129942607069</v>
      </c>
      <c r="AG38" s="49" cm="1">
        <f t="array" ref="AG38">AH38*1000</f>
        <v>144.169329987120</v>
      </c>
      <c r="AH38" s="49">
        <v>0.14416932998712</v>
      </c>
      <c r="AI38" s="11"/>
      <c r="AJ38" s="11"/>
    </row>
    <row r="39" ht="15" customHeight="1">
      <c r="A39" s="44"/>
      <c r="B39" s="37">
        <v>11206</v>
      </c>
      <c r="C39" s="57">
        <v>39313</v>
      </c>
      <c r="D39" s="39">
        <v>3608.5</v>
      </c>
      <c r="E39" s="37">
        <v>12.7</v>
      </c>
      <c r="F39" s="39">
        <v>284.5</v>
      </c>
      <c r="G39" s="39">
        <v>196.625</v>
      </c>
      <c r="H39" s="39">
        <v>93.7905311720699</v>
      </c>
      <c r="I39" s="39">
        <v>285</v>
      </c>
      <c r="J39" s="39">
        <v>196</v>
      </c>
      <c r="K39" s="39">
        <v>92.59999999999999</v>
      </c>
      <c r="L39" s="39">
        <v>57</v>
      </c>
      <c r="M39" s="39">
        <v>43.0067630922693</v>
      </c>
      <c r="N39" t="s" s="47">
        <v>44</v>
      </c>
      <c r="O39" s="39">
        <v>107.25</v>
      </c>
      <c r="P39" s="39">
        <v>470.226259351621</v>
      </c>
      <c r="Q39" s="39">
        <v>78.749927680798</v>
      </c>
      <c r="R39" s="40">
        <v>1.72476483790524</v>
      </c>
      <c r="S39" s="39">
        <v>4308.309282700420</v>
      </c>
      <c r="T39" s="39">
        <v>129.2</v>
      </c>
      <c r="U39" s="39">
        <v>1.8</v>
      </c>
      <c r="V39" s="39">
        <v>18</v>
      </c>
      <c r="W39" s="39">
        <v>36.51</v>
      </c>
      <c r="X39" s="39">
        <v>44.5</v>
      </c>
      <c r="Y39" s="39">
        <v>44.5</v>
      </c>
      <c r="Z39" s="41">
        <v>92.2</v>
      </c>
      <c r="AA39" s="42" cm="1">
        <f t="array" ref="AA39">Z39/1.01325</f>
        <v>90.9943251912164</v>
      </c>
      <c r="AB39" s="58" cm="1">
        <f t="array" ref="AB39">AE39*1.204</f>
        <v>0.801864</v>
      </c>
      <c r="AC39" s="59">
        <v>777</v>
      </c>
      <c r="AD39" s="60">
        <v>1000</v>
      </c>
      <c r="AE39" s="49">
        <v>0.666</v>
      </c>
      <c r="AF39" s="49" cm="1">
        <f t="array" ref="AF39">(AB39*P39*1000+AC39*Q39+R39*AD39)/24/3600</f>
        <v>5.09225657262284</v>
      </c>
      <c r="AG39" s="49" cm="1">
        <f t="array" ref="AG39">AH39*1000</f>
        <v>130.043555624175</v>
      </c>
      <c r="AH39" s="49">
        <v>0.130043555624175</v>
      </c>
      <c r="AI39" s="11"/>
      <c r="AJ39" s="11"/>
    </row>
    <row r="40" ht="15" customHeight="1">
      <c r="A40" s="45"/>
      <c r="B40" s="37">
        <v>11206</v>
      </c>
      <c r="C40" s="57">
        <v>39314</v>
      </c>
      <c r="D40" s="39">
        <v>3608.5</v>
      </c>
      <c r="E40" s="37">
        <v>14.29</v>
      </c>
      <c r="F40" s="39">
        <v>269.9</v>
      </c>
      <c r="G40" s="39">
        <v>179</v>
      </c>
      <c r="H40" s="39">
        <v>94.6015472972972</v>
      </c>
      <c r="I40" s="39">
        <v>288</v>
      </c>
      <c r="J40" s="39">
        <v>179</v>
      </c>
      <c r="K40" s="39">
        <v>94.5</v>
      </c>
      <c r="L40" s="39">
        <v>60</v>
      </c>
      <c r="M40" s="39">
        <v>47.267402027027</v>
      </c>
      <c r="N40" t="s" s="47">
        <v>44</v>
      </c>
      <c r="O40" s="39">
        <v>106.73</v>
      </c>
      <c r="P40" s="39">
        <v>523.986587837838</v>
      </c>
      <c r="Q40" s="39">
        <v>83.7770641891892</v>
      </c>
      <c r="R40" s="40">
        <v>1.95520472972973</v>
      </c>
      <c r="S40" s="39">
        <v>4932.464486638540</v>
      </c>
      <c r="T40" s="39">
        <v>135</v>
      </c>
      <c r="U40" s="39">
        <v>2.1</v>
      </c>
      <c r="V40" s="39">
        <v>18</v>
      </c>
      <c r="W40" s="39">
        <v>36.51</v>
      </c>
      <c r="X40" s="39">
        <v>44.5</v>
      </c>
      <c r="Y40" s="39">
        <v>44.5</v>
      </c>
      <c r="Z40" s="41">
        <v>93.09999999999999</v>
      </c>
      <c r="AA40" s="42" cm="1">
        <f t="array" ref="AA40">Z40/1.01325</f>
        <v>91.8825561312608</v>
      </c>
      <c r="AB40" s="58" cm="1">
        <f t="array" ref="AB40">AE40*1.204</f>
        <v>0.801864</v>
      </c>
      <c r="AC40" s="59">
        <v>771</v>
      </c>
      <c r="AD40" s="60">
        <v>1000</v>
      </c>
      <c r="AE40" s="49">
        <v>0.666</v>
      </c>
      <c r="AF40" s="49" cm="1">
        <f t="array" ref="AF40">(AB40*P40*1000+AC40*Q40+R40*AD40)/24/3600</f>
        <v>5.63325581585179</v>
      </c>
      <c r="AG40" s="49" cm="1">
        <f t="array" ref="AG40">AH40*1000</f>
        <v>123.304298239688</v>
      </c>
      <c r="AH40" s="65">
        <v>0.123304298239688</v>
      </c>
      <c r="AI40" s="11"/>
      <c r="AJ40" s="11"/>
    </row>
    <row r="41" ht="15" customHeight="1">
      <c r="A41" s="36">
        <v>1</v>
      </c>
      <c r="B41" s="37">
        <v>11206</v>
      </c>
      <c r="C41" s="57">
        <v>39582</v>
      </c>
      <c r="D41" s="37">
        <v>3612.5</v>
      </c>
      <c r="E41" s="37">
        <v>9.529999999999999</v>
      </c>
      <c r="F41" s="39">
        <v>288.8</v>
      </c>
      <c r="G41" s="39">
        <v>204</v>
      </c>
      <c r="H41" s="39">
        <v>90.11994326241189</v>
      </c>
      <c r="I41" s="39">
        <v>289.7</v>
      </c>
      <c r="J41" s="39">
        <v>204</v>
      </c>
      <c r="K41" s="39">
        <v>90.40000000000001</v>
      </c>
      <c r="L41" s="39">
        <v>59</v>
      </c>
      <c r="M41" s="39">
        <v>32.3648439716312</v>
      </c>
      <c r="N41" s="39">
        <v>32.6</v>
      </c>
      <c r="O41" s="39">
        <v>107.44</v>
      </c>
      <c r="P41" s="39">
        <v>286.469810874704</v>
      </c>
      <c r="Q41" s="39">
        <v>48.4956513002364</v>
      </c>
      <c r="R41" s="40">
        <v>0.688635047281323</v>
      </c>
      <c r="S41" s="39">
        <v>2579.487511781330</v>
      </c>
      <c r="T41" s="39">
        <v>75.40000000000001</v>
      </c>
      <c r="U41" s="39">
        <v>0.7</v>
      </c>
      <c r="V41" s="39">
        <v>18</v>
      </c>
      <c r="W41" s="39">
        <v>34.34</v>
      </c>
      <c r="X41" s="39">
        <v>40.5</v>
      </c>
      <c r="Y41" s="39">
        <v>41.1</v>
      </c>
      <c r="Z41" s="41">
        <v>88.7</v>
      </c>
      <c r="AA41" s="42" cm="1">
        <f t="array" ref="AA41">Z41/1.01325</f>
        <v>87.5400937577103</v>
      </c>
      <c r="AB41" s="58" cm="1">
        <f t="array" ref="AB41">AE41*1.204</f>
        <v>0.790458073429952</v>
      </c>
      <c r="AC41" s="66">
        <v>775</v>
      </c>
      <c r="AD41" s="60">
        <v>1000</v>
      </c>
      <c r="AE41" s="49">
        <v>0.6565266390614219</v>
      </c>
      <c r="AF41" s="49" cm="1">
        <f t="array" ref="AF41">(AB41*P41*1000+AC41*Q41+R41*AD41)/24/3600</f>
        <v>3.06383263431511</v>
      </c>
      <c r="AG41" s="61" cm="1">
        <f t="array" ref="AG41">AH41*1000</f>
        <v>131.209293265817</v>
      </c>
      <c r="AH41" s="67">
        <v>0.131209293265817</v>
      </c>
      <c r="AI41" s="63"/>
      <c r="AJ41" s="11"/>
    </row>
    <row r="42" ht="15" customHeight="1">
      <c r="A42" s="44"/>
      <c r="B42" s="37">
        <v>11206</v>
      </c>
      <c r="C42" s="57">
        <v>39584</v>
      </c>
      <c r="D42" s="37">
        <v>3612.5</v>
      </c>
      <c r="E42" s="39">
        <v>11.11</v>
      </c>
      <c r="F42" s="39">
        <v>276.9</v>
      </c>
      <c r="G42" s="39">
        <v>192.727272727273</v>
      </c>
      <c r="H42" s="39">
        <v>91.1491482084691</v>
      </c>
      <c r="I42" s="39">
        <v>276.9</v>
      </c>
      <c r="J42" s="39">
        <v>192</v>
      </c>
      <c r="K42" s="39">
        <v>91.40000000000001</v>
      </c>
      <c r="L42" s="39">
        <v>59</v>
      </c>
      <c r="M42" s="39">
        <v>38.7570635179154</v>
      </c>
      <c r="N42" s="39">
        <v>38.3</v>
      </c>
      <c r="O42" s="39">
        <v>107.1</v>
      </c>
      <c r="P42" s="39">
        <v>359.968387622150</v>
      </c>
      <c r="Q42" s="39">
        <v>55.0410488599348</v>
      </c>
      <c r="R42" s="40">
        <v>3.92021140065146</v>
      </c>
      <c r="S42" s="39">
        <v>3340.0302038881</v>
      </c>
      <c r="T42" s="39">
        <v>86.09999999999999</v>
      </c>
      <c r="U42" s="39">
        <v>4</v>
      </c>
      <c r="V42" s="39">
        <v>18</v>
      </c>
      <c r="W42" s="39">
        <v>34.34</v>
      </c>
      <c r="X42" s="39">
        <v>40.5</v>
      </c>
      <c r="Y42" s="39">
        <v>41.1</v>
      </c>
      <c r="Z42" s="41">
        <v>89</v>
      </c>
      <c r="AA42" s="42" cm="1">
        <f t="array" ref="AA42">Z42/1.01325</f>
        <v>87.8361707377251</v>
      </c>
      <c r="AB42" s="58" cm="1">
        <f t="array" ref="AB42">AE42*1.204</f>
        <v>0.790458073429952</v>
      </c>
      <c r="AC42" s="66">
        <v>775</v>
      </c>
      <c r="AD42" s="60">
        <v>1000</v>
      </c>
      <c r="AE42" s="49">
        <v>0.6565266390614219</v>
      </c>
      <c r="AF42" s="49" cm="1">
        <f t="array" ref="AF42">(AB42*P42*1000+AC42*Q42+R42*AD42)/24/3600</f>
        <v>3.83237201901148</v>
      </c>
      <c r="AG42" s="49" cm="1">
        <f t="array" ref="AG42">AH42*1000</f>
        <v>118.413171822860</v>
      </c>
      <c r="AH42" s="64">
        <v>0.11841317182286</v>
      </c>
      <c r="AI42" s="11"/>
      <c r="AJ42" s="11"/>
    </row>
    <row r="43" ht="15" customHeight="1">
      <c r="A43" s="44"/>
      <c r="B43" s="37">
        <v>11206</v>
      </c>
      <c r="C43" s="57">
        <v>39585</v>
      </c>
      <c r="D43" s="37">
        <v>3612.5</v>
      </c>
      <c r="E43" s="39">
        <v>12.7</v>
      </c>
      <c r="F43" s="39">
        <v>267.6</v>
      </c>
      <c r="G43" s="39">
        <v>175.583333333333</v>
      </c>
      <c r="H43" s="39">
        <v>91.7872496171515</v>
      </c>
      <c r="I43" s="39">
        <v>261.6</v>
      </c>
      <c r="J43" s="39">
        <v>175</v>
      </c>
      <c r="K43" s="39">
        <v>91.5</v>
      </c>
      <c r="L43" s="39">
        <v>63</v>
      </c>
      <c r="M43" s="39">
        <v>44.3361286370597</v>
      </c>
      <c r="N43" s="39">
        <v>44.1</v>
      </c>
      <c r="O43" s="39">
        <v>106.7</v>
      </c>
      <c r="P43" s="39">
        <v>437.075237366003</v>
      </c>
      <c r="Q43" s="39">
        <v>57.8841179173047</v>
      </c>
      <c r="R43" s="40">
        <v>5.16482327718223</v>
      </c>
      <c r="S43" s="39">
        <v>4180.817621980110</v>
      </c>
      <c r="T43" s="39">
        <v>93.5</v>
      </c>
      <c r="U43" s="39">
        <v>5.4</v>
      </c>
      <c r="V43" s="39">
        <v>18</v>
      </c>
      <c r="W43" s="39">
        <v>34.34</v>
      </c>
      <c r="X43" s="39">
        <v>40.5</v>
      </c>
      <c r="Y43" s="39">
        <v>41.1</v>
      </c>
      <c r="Z43" s="41">
        <v>89.5</v>
      </c>
      <c r="AA43" s="42" cm="1">
        <f t="array" ref="AA43">Z43/1.01325</f>
        <v>88.32963237108309</v>
      </c>
      <c r="AB43" s="58" cm="1">
        <f t="array" ref="AB43">AE43*1.204</f>
        <v>0.790458073429952</v>
      </c>
      <c r="AC43" s="66">
        <v>775</v>
      </c>
      <c r="AD43" s="60">
        <v>1000</v>
      </c>
      <c r="AE43" s="49">
        <v>0.6565266390614219</v>
      </c>
      <c r="AF43" s="49" cm="1">
        <f t="array" ref="AF43">(AB43*P43*1000+AC43*Q43+R43*AD43)/24/3600</f>
        <v>4.57771602702967</v>
      </c>
      <c r="AG43" s="49" cm="1">
        <f t="array" ref="AG43">AH43*1000</f>
        <v>102.665399455288</v>
      </c>
      <c r="AH43" s="49">
        <v>0.102665399455288</v>
      </c>
      <c r="AI43" s="11"/>
      <c r="AJ43" s="11"/>
    </row>
    <row r="44" ht="15" customHeight="1">
      <c r="A44" s="45"/>
      <c r="B44" s="37">
        <v>11206</v>
      </c>
      <c r="C44" s="57">
        <v>39587</v>
      </c>
      <c r="D44" s="37">
        <v>3612.5</v>
      </c>
      <c r="E44" s="37">
        <v>14.29</v>
      </c>
      <c r="F44" s="39">
        <v>248.4</v>
      </c>
      <c r="G44" s="39">
        <v>161</v>
      </c>
      <c r="H44" s="39">
        <v>91.93847777777781</v>
      </c>
      <c r="I44" s="39">
        <v>248</v>
      </c>
      <c r="J44" s="39">
        <v>161</v>
      </c>
      <c r="K44" s="39">
        <v>96.09999999999999</v>
      </c>
      <c r="L44" s="39">
        <v>63</v>
      </c>
      <c r="M44" s="39">
        <v>47.2353944444444</v>
      </c>
      <c r="N44" s="39">
        <v>47.2</v>
      </c>
      <c r="O44" s="39">
        <v>106.04</v>
      </c>
      <c r="P44" s="39">
        <v>490.727916666667</v>
      </c>
      <c r="Q44" s="39">
        <v>58.6232694444445</v>
      </c>
      <c r="R44" s="40">
        <v>6.31832583333333</v>
      </c>
      <c r="S44" s="39">
        <v>4775.031044214490</v>
      </c>
      <c r="T44" s="39">
        <v>95.7</v>
      </c>
      <c r="U44" s="39">
        <v>6.8</v>
      </c>
      <c r="V44" s="39">
        <v>18</v>
      </c>
      <c r="W44" s="39">
        <v>34.34</v>
      </c>
      <c r="X44" s="39">
        <v>40.5</v>
      </c>
      <c r="Y44" s="39">
        <v>41.1</v>
      </c>
      <c r="Z44" s="41">
        <v>89</v>
      </c>
      <c r="AA44" s="42" cm="1">
        <f t="array" ref="AA44">Z44/1.01325</f>
        <v>87.8361707377251</v>
      </c>
      <c r="AB44" s="58" cm="1">
        <f t="array" ref="AB44">AE44*1.204</f>
        <v>0.790458073429952</v>
      </c>
      <c r="AC44" s="66">
        <v>775</v>
      </c>
      <c r="AD44" s="60">
        <v>1000</v>
      </c>
      <c r="AE44" s="49">
        <v>0.6565266390614219</v>
      </c>
      <c r="AF44" s="49" cm="1">
        <f t="array" ref="AF44">(AB44*P44*1000+AC44*Q44+R44*AD44)/24/3600</f>
        <v>5.08855559304867</v>
      </c>
      <c r="AG44" s="49" cm="1">
        <f t="array" ref="AG44">AH44*1000</f>
        <v>92.5461951521403</v>
      </c>
      <c r="AH44" s="49">
        <v>0.0925461951521403</v>
      </c>
      <c r="AI44" s="11"/>
      <c r="AJ44" s="11"/>
    </row>
    <row r="45" ht="15" customHeight="1">
      <c r="A45" s="46">
        <v>6</v>
      </c>
      <c r="B45" s="37">
        <v>11206</v>
      </c>
      <c r="C45" s="57">
        <v>40750</v>
      </c>
      <c r="D45" s="39">
        <v>3615.3</v>
      </c>
      <c r="E45" s="39">
        <v>11.11</v>
      </c>
      <c r="F45" s="39">
        <v>229.5</v>
      </c>
      <c r="G45" s="39">
        <v>165</v>
      </c>
      <c r="H45" s="39">
        <v>101.744763832658</v>
      </c>
      <c r="I45" s="39">
        <v>229.5</v>
      </c>
      <c r="J45" s="39">
        <v>164</v>
      </c>
      <c r="K45" s="39">
        <v>101.8</v>
      </c>
      <c r="L45" s="39">
        <v>55</v>
      </c>
      <c r="M45" s="39">
        <v>42.2479271255061</v>
      </c>
      <c r="N45" s="39"/>
      <c r="O45" s="39">
        <v>105.5</v>
      </c>
      <c r="P45" s="39">
        <v>290.4</v>
      </c>
      <c r="Q45" s="39">
        <v>28.7</v>
      </c>
      <c r="R45" s="39">
        <v>9.5</v>
      </c>
      <c r="S45" s="39">
        <v>1449.78</v>
      </c>
      <c r="T45" s="39">
        <v>44.1</v>
      </c>
      <c r="U45" s="39">
        <v>9.300000000000001</v>
      </c>
      <c r="V45" s="39">
        <v>19.1</v>
      </c>
      <c r="W45" s="39">
        <v>28.32</v>
      </c>
      <c r="X45" s="39">
        <v>39.2</v>
      </c>
      <c r="Y45" t="s" s="47">
        <v>44</v>
      </c>
      <c r="Z45" s="41">
        <v>96.59999999999999</v>
      </c>
      <c r="AA45" s="42" cm="1">
        <f t="array" ref="AA45">Z45/1.01325</f>
        <v>95.33678756476679</v>
      </c>
      <c r="AB45" s="68" cm="1">
        <f t="array" ref="AB45">AE45*1.204</f>
        <v>0.804272</v>
      </c>
      <c r="AC45" s="69">
        <v>769.5</v>
      </c>
      <c r="AD45" s="70">
        <v>1000</v>
      </c>
      <c r="AE45" s="49">
        <v>0.668</v>
      </c>
      <c r="AF45" s="49" cm="1">
        <f t="array" ref="AF45">(AB45*P45*1000+AC45*Q45+R45*AD45)/24/3600</f>
        <v>3.06881063425926</v>
      </c>
      <c r="AG45" s="49" cm="1">
        <f t="array" ref="AG45">AH45*1000</f>
        <v>76.2147707373946</v>
      </c>
      <c r="AH45" s="49">
        <v>0.0762147707373946</v>
      </c>
      <c r="AI45" s="11"/>
      <c r="AJ45" s="11"/>
    </row>
    <row r="46" ht="15" customHeight="1">
      <c r="A46" s="36">
        <v>3</v>
      </c>
      <c r="B46" s="37">
        <v>11207</v>
      </c>
      <c r="C46" s="57">
        <v>39318</v>
      </c>
      <c r="D46" s="39">
        <v>3833.7</v>
      </c>
      <c r="E46" s="37">
        <v>7.94</v>
      </c>
      <c r="F46" s="39">
        <v>319</v>
      </c>
      <c r="G46" s="39">
        <v>228</v>
      </c>
      <c r="H46" s="39">
        <v>91.8</v>
      </c>
      <c r="I46" s="39">
        <v>319</v>
      </c>
      <c r="J46" s="39">
        <v>228</v>
      </c>
      <c r="K46" s="39">
        <v>91.8</v>
      </c>
      <c r="L46" s="39">
        <v>40</v>
      </c>
      <c r="M46" s="39">
        <v>21.1</v>
      </c>
      <c r="N46" s="39">
        <v>17.9</v>
      </c>
      <c r="O46" s="39">
        <v>107.54</v>
      </c>
      <c r="P46" s="39">
        <v>220.105</v>
      </c>
      <c r="Q46" s="39">
        <v>50.5</v>
      </c>
      <c r="R46" s="40">
        <v>1.6</v>
      </c>
      <c r="S46" s="39">
        <v>1740.0962962963</v>
      </c>
      <c r="T46" s="39">
        <v>85.3</v>
      </c>
      <c r="U46" s="39">
        <v>1.56</v>
      </c>
      <c r="V46" s="39">
        <v>20.54</v>
      </c>
      <c r="W46" s="39">
        <v>33.83</v>
      </c>
      <c r="X46" s="39">
        <v>44</v>
      </c>
      <c r="Y46" t="s" s="47">
        <v>44</v>
      </c>
      <c r="Z46" s="41">
        <v>389.15</v>
      </c>
      <c r="AA46" s="42" cm="1">
        <f t="array" ref="AA46">Z46/1.01325</f>
        <v>384.061189242536</v>
      </c>
      <c r="AB46" s="11"/>
      <c r="AC46" s="71"/>
      <c r="AD46" s="11"/>
      <c r="AE46" s="11"/>
      <c r="AF46" s="11"/>
      <c r="AG46" s="11"/>
      <c r="AH46" s="11"/>
      <c r="AI46" s="11"/>
      <c r="AJ46" s="11"/>
    </row>
    <row r="47" ht="15.75" customHeight="1">
      <c r="A47" s="44"/>
      <c r="B47" s="37">
        <v>11207</v>
      </c>
      <c r="C47" s="57">
        <v>39318</v>
      </c>
      <c r="D47" s="39">
        <v>3833.7</v>
      </c>
      <c r="E47" s="39">
        <v>9.529999999999999</v>
      </c>
      <c r="F47" s="39">
        <v>314.4</v>
      </c>
      <c r="G47" s="39">
        <v>222</v>
      </c>
      <c r="H47" s="39">
        <v>91.8</v>
      </c>
      <c r="I47" s="39">
        <v>313</v>
      </c>
      <c r="J47" s="39">
        <v>222</v>
      </c>
      <c r="K47" s="39">
        <v>92.09999999999999</v>
      </c>
      <c r="L47" s="39">
        <v>50</v>
      </c>
      <c r="M47" s="39">
        <v>29.8</v>
      </c>
      <c r="N47" s="39">
        <v>28.6</v>
      </c>
      <c r="O47" s="39">
        <v>107.58</v>
      </c>
      <c r="P47" s="39">
        <v>305.594</v>
      </c>
      <c r="Q47" s="39">
        <v>68.59999999999999</v>
      </c>
      <c r="R47" s="40">
        <v>1.7</v>
      </c>
      <c r="S47" s="39">
        <v>2583.467765042980</v>
      </c>
      <c r="T47" s="39">
        <v>114</v>
      </c>
      <c r="U47" s="39">
        <v>1.7</v>
      </c>
      <c r="V47" s="39">
        <v>20.54</v>
      </c>
      <c r="W47" s="39">
        <v>33.83</v>
      </c>
      <c r="X47" s="39">
        <v>44</v>
      </c>
      <c r="Y47" t="s" s="47">
        <v>44</v>
      </c>
      <c r="Z47" s="41">
        <v>389.15</v>
      </c>
      <c r="AA47" s="42" cm="1">
        <f t="array" ref="AA47">Z47/1.01325</f>
        <v>384.061189242536</v>
      </c>
      <c r="AB47" s="11"/>
      <c r="AC47" s="11"/>
      <c r="AD47" s="11"/>
      <c r="AE47" s="11"/>
      <c r="AF47" s="11"/>
      <c r="AG47" s="11"/>
      <c r="AH47" s="11"/>
      <c r="AI47" s="11"/>
      <c r="AJ47" s="11"/>
    </row>
    <row r="48" ht="15.75" customHeight="1">
      <c r="A48" s="44"/>
      <c r="B48" s="37">
        <v>11207</v>
      </c>
      <c r="C48" s="57">
        <v>39319</v>
      </c>
      <c r="D48" s="39">
        <v>3833.7</v>
      </c>
      <c r="E48" s="39">
        <v>11.11</v>
      </c>
      <c r="F48" s="39">
        <v>308.4</v>
      </c>
      <c r="G48" s="39">
        <v>213</v>
      </c>
      <c r="H48" s="39">
        <v>92</v>
      </c>
      <c r="I48" s="39">
        <v>308</v>
      </c>
      <c r="J48" s="39">
        <v>213</v>
      </c>
      <c r="K48" s="39">
        <v>92.09999999999999</v>
      </c>
      <c r="L48" s="39">
        <v>52</v>
      </c>
      <c r="M48" s="39">
        <v>36.1</v>
      </c>
      <c r="N48" s="39">
        <v>35.5</v>
      </c>
      <c r="O48" s="39">
        <v>107.53</v>
      </c>
      <c r="P48" s="39">
        <v>388.06</v>
      </c>
      <c r="Q48" s="39">
        <v>86.09999999999999</v>
      </c>
      <c r="R48" s="40">
        <v>1.3</v>
      </c>
      <c r="S48" s="39">
        <v>3410.644886363640</v>
      </c>
      <c r="T48" s="39">
        <v>142</v>
      </c>
      <c r="U48" s="39">
        <v>1.3</v>
      </c>
      <c r="V48" s="39">
        <v>20.54</v>
      </c>
      <c r="W48" s="39">
        <v>33.83</v>
      </c>
      <c r="X48" s="39">
        <v>44</v>
      </c>
      <c r="Y48" t="s" s="47">
        <v>44</v>
      </c>
      <c r="Z48" s="41">
        <v>389.15</v>
      </c>
      <c r="AA48" s="42" cm="1">
        <f t="array" ref="AA48">Z48/1.01325</f>
        <v>384.061189242536</v>
      </c>
      <c r="AB48" s="11"/>
      <c r="AC48" s="11"/>
      <c r="AD48" s="11"/>
      <c r="AE48" s="11"/>
      <c r="AF48" s="11"/>
      <c r="AG48" s="11"/>
      <c r="AH48" s="11"/>
      <c r="AI48" s="11"/>
      <c r="AJ48" s="11"/>
    </row>
    <row r="49" ht="15.75" customHeight="1">
      <c r="A49" s="44"/>
      <c r="B49" s="37">
        <v>11207</v>
      </c>
      <c r="C49" s="57">
        <v>39320</v>
      </c>
      <c r="D49" s="39">
        <v>3833.7</v>
      </c>
      <c r="E49" s="37">
        <v>12.7</v>
      </c>
      <c r="F49" s="39">
        <v>300.9</v>
      </c>
      <c r="G49" s="39">
        <v>201</v>
      </c>
      <c r="H49" s="39">
        <v>94.40000000000001</v>
      </c>
      <c r="I49" s="39">
        <v>300.9</v>
      </c>
      <c r="J49" s="39">
        <v>201</v>
      </c>
      <c r="K49" s="39">
        <v>94.59999999999999</v>
      </c>
      <c r="L49" s="39">
        <v>58</v>
      </c>
      <c r="M49" s="39">
        <v>42.4</v>
      </c>
      <c r="N49" s="39">
        <v>41.9</v>
      </c>
      <c r="O49" s="39">
        <v>107.41</v>
      </c>
      <c r="P49" s="39">
        <v>474.025</v>
      </c>
      <c r="Q49" s="39">
        <v>102.7</v>
      </c>
      <c r="R49" s="40">
        <v>1.7</v>
      </c>
      <c r="S49" s="39">
        <v>4244.746926970350</v>
      </c>
      <c r="T49" s="39">
        <v>168.858351409978</v>
      </c>
      <c r="U49" s="39">
        <v>1.7</v>
      </c>
      <c r="V49" s="39">
        <v>20.54</v>
      </c>
      <c r="W49" s="39">
        <v>33.83</v>
      </c>
      <c r="X49" s="39">
        <v>44</v>
      </c>
      <c r="Y49" t="s" s="47">
        <v>44</v>
      </c>
      <c r="Z49" s="41">
        <v>389.15</v>
      </c>
      <c r="AA49" s="42" cm="1">
        <f t="array" ref="AA49">Z49/1.01325</f>
        <v>384.061189242536</v>
      </c>
      <c r="AB49" s="11"/>
      <c r="AC49" s="11"/>
      <c r="AD49" s="11"/>
      <c r="AE49" s="11"/>
      <c r="AF49" s="11"/>
      <c r="AG49" s="11"/>
      <c r="AH49" s="11"/>
      <c r="AI49" s="11"/>
      <c r="AJ49" s="11"/>
    </row>
    <row r="50" ht="14.25" customHeight="1">
      <c r="A50" s="45"/>
      <c r="B50" s="37">
        <v>11207</v>
      </c>
      <c r="C50" s="57">
        <v>39321</v>
      </c>
      <c r="D50" s="39">
        <v>3833.7</v>
      </c>
      <c r="E50" s="39">
        <v>14.29</v>
      </c>
      <c r="F50" s="39">
        <v>293.4</v>
      </c>
      <c r="G50" s="39">
        <v>206</v>
      </c>
      <c r="H50" s="39">
        <v>92.09999999999999</v>
      </c>
      <c r="I50" s="39">
        <v>293.4</v>
      </c>
      <c r="J50" s="39">
        <v>206</v>
      </c>
      <c r="K50" s="39">
        <v>92</v>
      </c>
      <c r="L50" s="39">
        <v>59</v>
      </c>
      <c r="M50" s="39">
        <v>46.3</v>
      </c>
      <c r="N50" s="39">
        <v>46</v>
      </c>
      <c r="O50" s="39">
        <v>107.25</v>
      </c>
      <c r="P50" s="39">
        <v>543.022</v>
      </c>
      <c r="Q50" s="39">
        <v>114.6</v>
      </c>
      <c r="R50" s="40">
        <v>2</v>
      </c>
      <c r="S50" s="39">
        <v>5046</v>
      </c>
      <c r="T50" s="39">
        <v>192</v>
      </c>
      <c r="U50" s="39">
        <v>2.1</v>
      </c>
      <c r="V50" s="39">
        <v>20.54</v>
      </c>
      <c r="W50" s="39">
        <v>33.83</v>
      </c>
      <c r="X50" s="39">
        <v>44</v>
      </c>
      <c r="Y50" t="s" s="47">
        <v>44</v>
      </c>
      <c r="Z50" s="41">
        <v>389.15</v>
      </c>
      <c r="AA50" s="42" cm="1">
        <f t="array" ref="AA50">Z50/1.01325</f>
        <v>384.061189242536</v>
      </c>
      <c r="AB50" s="11"/>
      <c r="AC50" s="11"/>
      <c r="AD50" s="11"/>
      <c r="AE50" s="11"/>
      <c r="AF50" s="11"/>
      <c r="AG50" s="11"/>
      <c r="AH50" s="11"/>
      <c r="AI50" s="11"/>
      <c r="AJ50" s="11"/>
    </row>
    <row r="51" ht="15" customHeight="1">
      <c r="A51" s="36">
        <v>2</v>
      </c>
      <c r="B51" s="37">
        <v>11207</v>
      </c>
      <c r="C51" s="57">
        <v>39725</v>
      </c>
      <c r="D51" s="39">
        <v>3842</v>
      </c>
      <c r="E51" s="37">
        <v>7.94</v>
      </c>
      <c r="F51" s="39">
        <v>319</v>
      </c>
      <c r="G51" s="39">
        <v>228</v>
      </c>
      <c r="H51" s="39">
        <v>85.40000000000001</v>
      </c>
      <c r="I51" s="39">
        <v>292.5</v>
      </c>
      <c r="J51" s="39">
        <v>212</v>
      </c>
      <c r="K51" s="39">
        <v>85.90000000000001</v>
      </c>
      <c r="L51" s="39">
        <v>40</v>
      </c>
      <c r="M51" s="39">
        <v>22.4</v>
      </c>
      <c r="N51" s="39">
        <v>22.9</v>
      </c>
      <c r="O51" s="39">
        <v>107.54</v>
      </c>
      <c r="P51" s="39">
        <v>220.105</v>
      </c>
      <c r="Q51" s="39">
        <v>50.5</v>
      </c>
      <c r="R51" s="40">
        <v>1.6</v>
      </c>
      <c r="S51" s="39">
        <v>1791.498938428870</v>
      </c>
      <c r="T51" s="39">
        <v>70</v>
      </c>
      <c r="U51" s="39">
        <v>0.6</v>
      </c>
      <c r="V51" s="39">
        <v>20.5</v>
      </c>
      <c r="W51" s="39">
        <v>33.83</v>
      </c>
      <c r="X51" s="39">
        <v>42</v>
      </c>
      <c r="Y51" t="s" s="47">
        <v>44</v>
      </c>
      <c r="Z51" s="41">
        <v>379.15</v>
      </c>
      <c r="AA51" s="42" cm="1">
        <f t="array" ref="AA51">Z51/1.01325</f>
        <v>374.191956575376</v>
      </c>
      <c r="AB51" s="11"/>
      <c r="AC51" s="11"/>
      <c r="AD51" s="11"/>
      <c r="AE51" s="11"/>
      <c r="AF51" s="11"/>
      <c r="AG51" s="11"/>
      <c r="AH51" s="11"/>
      <c r="AI51" s="11"/>
      <c r="AJ51" s="11"/>
    </row>
    <row r="52" ht="15.75" customHeight="1">
      <c r="A52" s="44"/>
      <c r="B52" s="37">
        <v>11207</v>
      </c>
      <c r="C52" s="57">
        <v>39726</v>
      </c>
      <c r="D52" s="39">
        <v>3842</v>
      </c>
      <c r="E52" s="39">
        <v>9.529999999999999</v>
      </c>
      <c r="F52" s="39">
        <v>314.4</v>
      </c>
      <c r="G52" s="39">
        <v>222</v>
      </c>
      <c r="H52" s="39">
        <v>86.40000000000001</v>
      </c>
      <c r="I52" s="39">
        <v>288</v>
      </c>
      <c r="J52" s="39">
        <v>207</v>
      </c>
      <c r="K52" s="39">
        <v>86.8</v>
      </c>
      <c r="L52" s="39">
        <v>50</v>
      </c>
      <c r="M52" s="39">
        <v>30.3</v>
      </c>
      <c r="N52" s="39">
        <v>29</v>
      </c>
      <c r="O52" s="39">
        <v>107.58</v>
      </c>
      <c r="P52" s="39">
        <v>305.594</v>
      </c>
      <c r="Q52" s="39">
        <v>68.59999999999999</v>
      </c>
      <c r="R52" s="40">
        <v>1.7</v>
      </c>
      <c r="S52" s="39">
        <v>2568.766292134830</v>
      </c>
      <c r="T52" s="39">
        <v>92.3</v>
      </c>
      <c r="U52" s="39">
        <v>1.5</v>
      </c>
      <c r="V52" s="39">
        <v>20.5</v>
      </c>
      <c r="W52" s="39">
        <v>33.83</v>
      </c>
      <c r="X52" s="39">
        <v>42</v>
      </c>
      <c r="Y52" t="s" s="47">
        <v>44</v>
      </c>
      <c r="Z52" s="41">
        <v>379.15</v>
      </c>
      <c r="AA52" s="42" cm="1">
        <f t="array" ref="AA52">Z52/1.01325</f>
        <v>374.191956575376</v>
      </c>
      <c r="AB52" s="11"/>
      <c r="AC52" s="11"/>
      <c r="AD52" s="11"/>
      <c r="AE52" s="11"/>
      <c r="AF52" s="11"/>
      <c r="AG52" s="11"/>
      <c r="AH52" s="11"/>
      <c r="AI52" s="11"/>
      <c r="AJ52" s="11"/>
    </row>
    <row r="53" ht="15.75" customHeight="1">
      <c r="A53" s="44"/>
      <c r="B53" s="37">
        <v>11207</v>
      </c>
      <c r="C53" s="57">
        <v>39727</v>
      </c>
      <c r="D53" s="39">
        <v>3842</v>
      </c>
      <c r="E53" s="39">
        <v>11.11</v>
      </c>
      <c r="F53" s="39">
        <v>308.4</v>
      </c>
      <c r="G53" s="39">
        <v>213</v>
      </c>
      <c r="H53" s="39">
        <v>86.40000000000001</v>
      </c>
      <c r="I53" s="39">
        <v>281.8</v>
      </c>
      <c r="J53" s="39">
        <v>200</v>
      </c>
      <c r="K53" s="39">
        <v>97.5</v>
      </c>
      <c r="L53" s="39">
        <v>52</v>
      </c>
      <c r="M53" s="39">
        <v>36</v>
      </c>
      <c r="N53" s="39">
        <v>35.8</v>
      </c>
      <c r="O53" s="39">
        <v>107.53</v>
      </c>
      <c r="P53" s="39">
        <v>388.06</v>
      </c>
      <c r="Q53" s="39">
        <v>86.09999999999999</v>
      </c>
      <c r="R53" s="40">
        <v>1.3</v>
      </c>
      <c r="S53" s="39">
        <v>3478.284278535530</v>
      </c>
      <c r="T53" s="39">
        <v>110.9</v>
      </c>
      <c r="U53" s="39">
        <v>2.4</v>
      </c>
      <c r="V53" s="39">
        <v>20.5</v>
      </c>
      <c r="W53" s="39">
        <v>33.83</v>
      </c>
      <c r="X53" s="39">
        <v>42</v>
      </c>
      <c r="Y53" t="s" s="47">
        <v>44</v>
      </c>
      <c r="Z53" s="41">
        <v>379.15</v>
      </c>
      <c r="AA53" s="42" cm="1">
        <f t="array" ref="AA53">Z53/1.01325</f>
        <v>374.191956575376</v>
      </c>
      <c r="AB53" s="11"/>
      <c r="AC53" s="11"/>
      <c r="AD53" s="11"/>
      <c r="AE53" s="11"/>
      <c r="AF53" s="11"/>
      <c r="AG53" s="11"/>
      <c r="AH53" s="11"/>
      <c r="AI53" s="11"/>
      <c r="AJ53" s="11"/>
    </row>
    <row r="54" ht="15.75" customHeight="1">
      <c r="A54" s="44"/>
      <c r="B54" s="37">
        <v>11207</v>
      </c>
      <c r="C54" s="57">
        <v>39728</v>
      </c>
      <c r="D54" s="39">
        <v>3842</v>
      </c>
      <c r="E54" s="37">
        <v>12.7</v>
      </c>
      <c r="F54" s="39">
        <v>300.9</v>
      </c>
      <c r="G54" s="39">
        <v>201</v>
      </c>
      <c r="H54" s="39">
        <v>92.5</v>
      </c>
      <c r="I54" s="39">
        <v>275</v>
      </c>
      <c r="J54" s="39">
        <v>192</v>
      </c>
      <c r="K54" s="39">
        <v>93</v>
      </c>
      <c r="L54" s="39">
        <v>58</v>
      </c>
      <c r="M54" s="39">
        <v>42.8</v>
      </c>
      <c r="N54" s="39">
        <v>43.7</v>
      </c>
      <c r="O54" s="39">
        <v>107.41</v>
      </c>
      <c r="P54" s="39">
        <v>474.025</v>
      </c>
      <c r="Q54" s="39">
        <v>102.7</v>
      </c>
      <c r="R54" s="40">
        <v>1.7</v>
      </c>
      <c r="S54" s="39">
        <v>4012.029895366220</v>
      </c>
      <c r="T54" s="39">
        <v>134.2</v>
      </c>
      <c r="U54" s="39">
        <v>4.15</v>
      </c>
      <c r="V54" s="39">
        <v>20.5</v>
      </c>
      <c r="W54" s="39">
        <v>33.83</v>
      </c>
      <c r="X54" s="39">
        <v>42</v>
      </c>
      <c r="Y54" t="s" s="47">
        <v>44</v>
      </c>
      <c r="Z54" s="41">
        <v>379.15</v>
      </c>
      <c r="AA54" s="42" cm="1">
        <f t="array" ref="AA54">Z54/1.01325</f>
        <v>374.191956575376</v>
      </c>
      <c r="AB54" s="11"/>
      <c r="AC54" s="11"/>
      <c r="AD54" s="11"/>
      <c r="AE54" s="11"/>
      <c r="AF54" s="11"/>
      <c r="AG54" s="11"/>
      <c r="AH54" s="11"/>
      <c r="AI54" s="11"/>
      <c r="AJ54" s="11"/>
    </row>
    <row r="55" ht="15.75" customHeight="1">
      <c r="A55" s="45"/>
      <c r="B55" s="37">
        <v>11207</v>
      </c>
      <c r="C55" s="57">
        <v>39729</v>
      </c>
      <c r="D55" s="39">
        <v>3842</v>
      </c>
      <c r="E55" s="37">
        <v>14.29</v>
      </c>
      <c r="F55" s="39">
        <v>293.4</v>
      </c>
      <c r="G55" s="39">
        <v>206</v>
      </c>
      <c r="H55" s="39">
        <v>94</v>
      </c>
      <c r="I55" s="39">
        <v>283</v>
      </c>
      <c r="J55" s="39">
        <v>182</v>
      </c>
      <c r="K55" s="39">
        <v>93.8</v>
      </c>
      <c r="L55" s="39">
        <v>59</v>
      </c>
      <c r="M55" s="39">
        <v>47.4</v>
      </c>
      <c r="N55" s="39">
        <v>47</v>
      </c>
      <c r="O55" s="39">
        <v>107.25</v>
      </c>
      <c r="P55" s="39">
        <v>543.022</v>
      </c>
      <c r="Q55" s="39">
        <v>114.6</v>
      </c>
      <c r="R55" s="40">
        <v>2</v>
      </c>
      <c r="S55" s="39">
        <v>4792.800584368150</v>
      </c>
      <c r="T55" s="39">
        <v>148.2</v>
      </c>
      <c r="U55" s="39">
        <v>4.7</v>
      </c>
      <c r="V55" s="39">
        <v>20.5</v>
      </c>
      <c r="W55" s="39">
        <v>33.83</v>
      </c>
      <c r="X55" s="39">
        <v>42</v>
      </c>
      <c r="Y55" t="s" s="47">
        <v>44</v>
      </c>
      <c r="Z55" s="41">
        <v>379.15</v>
      </c>
      <c r="AA55" s="42" cm="1">
        <f t="array" ref="AA55">Z55/1.01325</f>
        <v>374.191956575376</v>
      </c>
      <c r="AB55" s="11"/>
      <c r="AC55" s="11"/>
      <c r="AD55" s="11"/>
      <c r="AE55" s="11"/>
      <c r="AF55" s="11"/>
      <c r="AG55" s="11"/>
      <c r="AH55" s="11"/>
      <c r="AI55" s="11"/>
      <c r="AJ55" s="11"/>
    </row>
    <row r="56" ht="15" customHeight="1">
      <c r="A56" s="72">
        <v>7</v>
      </c>
      <c r="B56" s="37">
        <v>11207</v>
      </c>
      <c r="C56" s="57">
        <v>40805</v>
      </c>
      <c r="D56" s="39">
        <v>3842</v>
      </c>
      <c r="E56" s="39">
        <v>11.11</v>
      </c>
      <c r="F56" t="s" s="47">
        <v>44</v>
      </c>
      <c r="G56" s="39">
        <v>124.877551020408</v>
      </c>
      <c r="H56" s="39">
        <v>101.779145936395</v>
      </c>
      <c r="I56" s="39"/>
      <c r="J56" s="39">
        <v>125</v>
      </c>
      <c r="K56" s="39">
        <v>101.8</v>
      </c>
      <c r="L56" s="39">
        <v>44</v>
      </c>
      <c r="M56" s="39">
        <v>37.1994395759717</v>
      </c>
      <c r="N56" t="s" s="47">
        <v>44</v>
      </c>
      <c r="O56" t="s" s="47">
        <v>44</v>
      </c>
      <c r="P56" s="39">
        <v>182.549399293286</v>
      </c>
      <c r="Q56" s="39">
        <v>25.2718014134276</v>
      </c>
      <c r="R56" s="39">
        <v>2.06778091872791</v>
      </c>
      <c r="S56" s="39">
        <v>1499</v>
      </c>
      <c r="T56" s="39">
        <v>43</v>
      </c>
      <c r="U56" s="39">
        <v>2</v>
      </c>
      <c r="V56" s="39">
        <v>20.5</v>
      </c>
      <c r="W56" t="s" s="47">
        <v>44</v>
      </c>
      <c r="X56" t="s" s="47">
        <v>44</v>
      </c>
      <c r="Y56" t="s" s="47">
        <v>44</v>
      </c>
      <c r="Z56" s="41"/>
      <c r="AA56" s="42" cm="1">
        <f t="array" ref="AA56">Z56/1.01325</f>
        <v>0</v>
      </c>
      <c r="AB56" s="11"/>
      <c r="AC56" s="11"/>
      <c r="AD56" s="11"/>
      <c r="AE56" s="11"/>
      <c r="AF56" s="11"/>
      <c r="AG56" s="11"/>
      <c r="AH56" s="11"/>
      <c r="AI56" s="11"/>
      <c r="AJ56" s="11"/>
    </row>
    <row r="57" ht="18.75" customHeight="1">
      <c r="A57" s="73"/>
      <c r="B57" s="37">
        <v>11207</v>
      </c>
      <c r="C57" s="57">
        <v>40811</v>
      </c>
      <c r="D57" s="39">
        <v>3842</v>
      </c>
      <c r="E57" s="39">
        <v>12.7</v>
      </c>
      <c r="F57" t="s" s="47">
        <v>44</v>
      </c>
      <c r="G57" s="39">
        <v>118.175675675676</v>
      </c>
      <c r="H57" s="39">
        <v>100.569810735772</v>
      </c>
      <c r="I57" s="39"/>
      <c r="J57" s="39">
        <v>118</v>
      </c>
      <c r="K57" s="39">
        <v>100.7</v>
      </c>
      <c r="L57" s="39">
        <v>45</v>
      </c>
      <c r="M57" s="39">
        <v>41.1112915316983</v>
      </c>
      <c r="N57" t="s" s="47">
        <v>44</v>
      </c>
      <c r="O57" t="s" s="47">
        <v>44</v>
      </c>
      <c r="P57" s="39">
        <v>207.166422952337</v>
      </c>
      <c r="Q57" s="39">
        <v>26.6867950023137</v>
      </c>
      <c r="R57" s="39">
        <v>3.09201397501156</v>
      </c>
      <c r="S57" s="39">
        <v>1704.3</v>
      </c>
      <c r="T57" s="39">
        <v>44.7</v>
      </c>
      <c r="U57" s="39">
        <v>3.2</v>
      </c>
      <c r="V57" s="39">
        <v>20.5</v>
      </c>
      <c r="W57" t="s" s="47">
        <v>44</v>
      </c>
      <c r="X57" t="s" s="47">
        <v>44</v>
      </c>
      <c r="Y57" t="s" s="47">
        <v>44</v>
      </c>
      <c r="Z57" s="41"/>
      <c r="AA57" s="42" cm="1">
        <f t="array" ref="AA57">Z57/1.01325</f>
        <v>0</v>
      </c>
      <c r="AB57" s="11"/>
      <c r="AC57" s="11"/>
      <c r="AD57" s="11"/>
      <c r="AE57" s="11"/>
      <c r="AF57" s="11"/>
      <c r="AG57" s="11"/>
      <c r="AH57" s="11"/>
      <c r="AI57" s="11"/>
      <c r="AJ57" s="11"/>
    </row>
    <row r="58" ht="15" customHeight="1">
      <c r="A58" s="36">
        <v>3</v>
      </c>
      <c r="B58" s="37">
        <v>11303</v>
      </c>
      <c r="C58" s="57">
        <v>39591</v>
      </c>
      <c r="D58" s="39">
        <v>3805.4</v>
      </c>
      <c r="E58" s="37">
        <v>9.529999999999999</v>
      </c>
      <c r="F58" s="39">
        <v>265.8</v>
      </c>
      <c r="G58" s="39">
        <v>180</v>
      </c>
      <c r="H58" s="39">
        <v>88.72638695652191</v>
      </c>
      <c r="I58" s="39">
        <v>265.2</v>
      </c>
      <c r="J58" s="39">
        <v>182</v>
      </c>
      <c r="K58" s="39">
        <v>88.90000000000001</v>
      </c>
      <c r="L58" s="39">
        <v>47</v>
      </c>
      <c r="M58" s="39">
        <v>26.3932391304348</v>
      </c>
      <c r="N58" s="39">
        <v>25.8</v>
      </c>
      <c r="O58" s="39">
        <v>104.88</v>
      </c>
      <c r="P58" s="39">
        <v>220.090652173913</v>
      </c>
      <c r="Q58" s="39">
        <v>49.1211869565217</v>
      </c>
      <c r="R58" s="40">
        <v>0.779233</v>
      </c>
      <c r="S58" s="39">
        <v>1872.130194805190</v>
      </c>
      <c r="T58" s="39">
        <v>86.40000000000001</v>
      </c>
      <c r="U58" s="39">
        <v>0.8</v>
      </c>
      <c r="V58" s="39">
        <v>19.2</v>
      </c>
      <c r="W58" s="39">
        <v>34.25</v>
      </c>
      <c r="X58" s="39">
        <v>40.6</v>
      </c>
      <c r="Y58" s="39">
        <v>40.9</v>
      </c>
      <c r="Z58" s="41"/>
      <c r="AA58" s="42" cm="1">
        <f t="array" ref="AA58">Z58/1.01325</f>
        <v>0</v>
      </c>
      <c r="AB58" s="11"/>
      <c r="AC58" s="11"/>
      <c r="AD58" s="11"/>
      <c r="AE58" s="11"/>
      <c r="AF58" s="11"/>
      <c r="AG58" s="11"/>
      <c r="AH58" s="11"/>
      <c r="AI58" s="11"/>
      <c r="AJ58" s="11"/>
    </row>
    <row r="59" ht="17.25" customHeight="1">
      <c r="A59" s="44"/>
      <c r="B59" s="37">
        <v>11303</v>
      </c>
      <c r="C59" s="57">
        <v>39592</v>
      </c>
      <c r="D59" s="39">
        <v>3805.4</v>
      </c>
      <c r="E59" s="39">
        <v>11.11</v>
      </c>
      <c r="F59" s="39">
        <v>241.9</v>
      </c>
      <c r="G59" s="39">
        <v>160.235294117647</v>
      </c>
      <c r="H59" s="39">
        <v>89.4848270440252</v>
      </c>
      <c r="I59" s="39">
        <v>241.5</v>
      </c>
      <c r="J59" s="39">
        <v>160</v>
      </c>
      <c r="K59" s="39">
        <v>89.8</v>
      </c>
      <c r="L59" s="39">
        <v>53</v>
      </c>
      <c r="M59" s="39">
        <v>36.1315324947589</v>
      </c>
      <c r="N59" s="39">
        <v>35.4</v>
      </c>
      <c r="O59" s="39">
        <v>104.4</v>
      </c>
      <c r="P59" s="39">
        <v>295.109633123690</v>
      </c>
      <c r="Q59" s="39">
        <v>57.3721561844864</v>
      </c>
      <c r="R59" s="40">
        <v>3.67769465408805</v>
      </c>
      <c r="S59" s="39">
        <v>2723.4358470712</v>
      </c>
      <c r="T59" s="39">
        <v>103.3</v>
      </c>
      <c r="U59" s="39">
        <v>3.9</v>
      </c>
      <c r="V59" s="39">
        <v>19.2</v>
      </c>
      <c r="W59" s="39">
        <v>34.25</v>
      </c>
      <c r="X59" s="39">
        <v>40.6</v>
      </c>
      <c r="Y59" s="39">
        <v>40.9</v>
      </c>
      <c r="Z59" s="41"/>
      <c r="AA59" s="42" cm="1">
        <f t="array" ref="AA59">Z59/1.01325</f>
        <v>0</v>
      </c>
      <c r="AB59" s="11"/>
      <c r="AC59" s="11"/>
      <c r="AD59" s="11"/>
      <c r="AE59" s="11"/>
      <c r="AF59" s="11"/>
      <c r="AG59" s="11"/>
      <c r="AH59" s="11"/>
      <c r="AI59" s="11"/>
      <c r="AJ59" s="11"/>
    </row>
    <row r="60" ht="17.25" customHeight="1">
      <c r="A60" s="44"/>
      <c r="B60" s="37">
        <v>11303</v>
      </c>
      <c r="C60" s="57">
        <v>39594</v>
      </c>
      <c r="D60" s="39">
        <v>3805.4</v>
      </c>
      <c r="E60" s="39">
        <v>12.7</v>
      </c>
      <c r="F60" s="39">
        <v>224.5</v>
      </c>
      <c r="G60" s="39">
        <v>144.238095238095</v>
      </c>
      <c r="H60" s="39">
        <v>92.7230625000002</v>
      </c>
      <c r="I60" s="39">
        <v>224</v>
      </c>
      <c r="J60" s="39">
        <v>144</v>
      </c>
      <c r="K60" s="39">
        <v>93.09999999999999</v>
      </c>
      <c r="L60" s="39">
        <v>55</v>
      </c>
      <c r="M60" s="39">
        <v>42.0285699013158</v>
      </c>
      <c r="N60" s="39">
        <v>41.6</v>
      </c>
      <c r="O60" s="39">
        <v>103.9</v>
      </c>
      <c r="P60" s="39">
        <v>335.359095394737</v>
      </c>
      <c r="Q60" s="39">
        <v>56.5303429276316</v>
      </c>
      <c r="R60" s="40">
        <v>4.12996578947369</v>
      </c>
      <c r="S60" s="39">
        <v>3135.870717061110</v>
      </c>
      <c r="T60" s="39">
        <v>104.1</v>
      </c>
      <c r="U60" s="39">
        <v>4.5</v>
      </c>
      <c r="V60" s="39">
        <v>19.2</v>
      </c>
      <c r="W60" s="39">
        <v>34.25</v>
      </c>
      <c r="X60" s="39">
        <v>40.6</v>
      </c>
      <c r="Y60" s="39">
        <v>40.9</v>
      </c>
      <c r="Z60" s="41"/>
      <c r="AA60" s="42" cm="1">
        <f t="array" ref="AA60">Z60/1.01325</f>
        <v>0</v>
      </c>
      <c r="AB60" s="11"/>
      <c r="AC60" s="11"/>
      <c r="AD60" s="11"/>
      <c r="AE60" s="11"/>
      <c r="AF60" s="11"/>
      <c r="AG60" s="11"/>
      <c r="AH60" s="11"/>
      <c r="AI60" s="11"/>
      <c r="AJ60" s="11"/>
    </row>
    <row r="61" ht="17.25" customHeight="1">
      <c r="A61" s="45"/>
      <c r="B61" s="37">
        <v>11303</v>
      </c>
      <c r="C61" s="57">
        <v>39596</v>
      </c>
      <c r="D61" s="39">
        <v>3805.4</v>
      </c>
      <c r="E61" s="37">
        <v>14.29</v>
      </c>
      <c r="F61" s="39">
        <v>204.6</v>
      </c>
      <c r="G61" s="39">
        <v>129.636363636364</v>
      </c>
      <c r="H61" s="39">
        <v>94.5263764258556</v>
      </c>
      <c r="I61" s="39">
        <v>204.9</v>
      </c>
      <c r="J61" s="39">
        <v>129</v>
      </c>
      <c r="K61" s="39">
        <v>87.59999999999999</v>
      </c>
      <c r="L61" s="39">
        <v>55</v>
      </c>
      <c r="M61" s="39">
        <v>46.203791634981</v>
      </c>
      <c r="N61" s="39">
        <v>46</v>
      </c>
      <c r="O61" s="39">
        <v>103.2</v>
      </c>
      <c r="P61" s="39">
        <v>353.902950570342</v>
      </c>
      <c r="Q61" s="39">
        <v>53.438144486692</v>
      </c>
      <c r="R61" s="40">
        <v>5.49738076045627</v>
      </c>
      <c r="S61" s="39">
        <v>3356.064645085810</v>
      </c>
      <c r="T61" s="39">
        <v>95.2</v>
      </c>
      <c r="U61" s="39">
        <v>5.8</v>
      </c>
      <c r="V61" s="39">
        <v>19.2</v>
      </c>
      <c r="W61" s="39">
        <v>34.25</v>
      </c>
      <c r="X61" s="39">
        <v>40.6</v>
      </c>
      <c r="Y61" s="39">
        <v>40.9</v>
      </c>
      <c r="Z61" s="41"/>
      <c r="AA61" s="42" cm="1">
        <f t="array" ref="AA61">Z61/1.01325</f>
        <v>0</v>
      </c>
      <c r="AB61" s="11"/>
      <c r="AC61" s="11"/>
      <c r="AD61" s="11"/>
      <c r="AE61" s="11"/>
      <c r="AF61" s="11"/>
      <c r="AG61" s="11"/>
      <c r="AH61" s="11"/>
      <c r="AI61" s="11"/>
      <c r="AJ61" s="11"/>
    </row>
    <row r="62" ht="15" customHeight="1">
      <c r="A62" s="36">
        <v>3</v>
      </c>
      <c r="B62" s="37">
        <v>11303</v>
      </c>
      <c r="C62" s="57">
        <v>40260</v>
      </c>
      <c r="D62" s="39">
        <v>3805.5</v>
      </c>
      <c r="E62" s="37">
        <v>9.529999999999999</v>
      </c>
      <c r="F62" s="39">
        <v>192</v>
      </c>
      <c r="G62" s="39">
        <v>138</v>
      </c>
      <c r="H62" s="39">
        <v>91.6757286527513</v>
      </c>
      <c r="I62" s="39"/>
      <c r="J62" s="39">
        <v>138</v>
      </c>
      <c r="K62" s="39">
        <v>91.59999999999999</v>
      </c>
      <c r="L62" s="39">
        <v>41</v>
      </c>
      <c r="M62" s="39">
        <v>29.7233984819734</v>
      </c>
      <c r="N62" s="39">
        <v>28.7</v>
      </c>
      <c r="O62" s="39">
        <v>104.2</v>
      </c>
      <c r="P62" s="39">
        <v>176.001897533207</v>
      </c>
      <c r="Q62" s="39">
        <v>23.534339658444</v>
      </c>
      <c r="R62" s="40">
        <v>4.36370929791271</v>
      </c>
      <c r="S62" s="39">
        <v>1564.493732125840</v>
      </c>
      <c r="T62" s="39">
        <v>41.1</v>
      </c>
      <c r="U62" s="39">
        <v>4.1</v>
      </c>
      <c r="V62" s="39">
        <v>19.2124</v>
      </c>
      <c r="W62" s="39">
        <v>25.57</v>
      </c>
      <c r="X62" s="39">
        <v>33.5</v>
      </c>
      <c r="Y62" s="39">
        <v>33.5</v>
      </c>
      <c r="Z62" s="41">
        <v>88.40000000000001</v>
      </c>
      <c r="AA62" s="42" cm="1">
        <f t="array" ref="AA62">Z62/1.01325</f>
        <v>87.24401677769551</v>
      </c>
      <c r="AB62" s="11"/>
      <c r="AC62" s="11"/>
      <c r="AD62" s="11"/>
      <c r="AE62" s="11"/>
      <c r="AF62" s="11"/>
      <c r="AG62" s="11"/>
      <c r="AH62" s="11"/>
      <c r="AI62" s="11"/>
      <c r="AJ62" s="11"/>
    </row>
    <row r="63" ht="13.5" customHeight="1">
      <c r="A63" s="45"/>
      <c r="B63" s="37">
        <v>11303</v>
      </c>
      <c r="C63" s="57">
        <v>40263</v>
      </c>
      <c r="D63" s="39">
        <v>3805.5</v>
      </c>
      <c r="E63" s="39">
        <v>11.11</v>
      </c>
      <c r="F63" s="39">
        <v>181</v>
      </c>
      <c r="G63" s="39">
        <v>128</v>
      </c>
      <c r="H63" s="39">
        <v>92.48977760000029</v>
      </c>
      <c r="I63" s="39"/>
      <c r="J63" s="39">
        <v>128</v>
      </c>
      <c r="K63" s="39">
        <v>92.59999999999999</v>
      </c>
      <c r="L63" s="39">
        <v>43</v>
      </c>
      <c r="M63" s="39">
        <v>35.5819448</v>
      </c>
      <c r="N63" s="39">
        <v>34.5</v>
      </c>
      <c r="O63" s="39">
        <v>104</v>
      </c>
      <c r="P63" s="39">
        <v>204.136</v>
      </c>
      <c r="Q63" s="39">
        <v>21.96150232</v>
      </c>
      <c r="R63" s="40">
        <v>7.77792416</v>
      </c>
      <c r="S63" s="39">
        <v>1865.295773922010</v>
      </c>
      <c r="T63" s="39">
        <v>41.4</v>
      </c>
      <c r="U63" s="39">
        <v>7.4</v>
      </c>
      <c r="V63" s="39">
        <v>19.2124</v>
      </c>
      <c r="W63" s="39">
        <v>25.57</v>
      </c>
      <c r="X63" s="39">
        <v>33.5</v>
      </c>
      <c r="Y63" s="39">
        <v>33.5</v>
      </c>
      <c r="Z63" s="41">
        <v>90</v>
      </c>
      <c r="AA63" s="42" cm="1">
        <f t="array" ref="AA63">Z63/1.01325</f>
        <v>88.8230940044412</v>
      </c>
      <c r="AB63" s="11"/>
      <c r="AC63" s="11"/>
      <c r="AD63" s="11"/>
      <c r="AE63" s="11"/>
      <c r="AF63" s="11"/>
      <c r="AG63" s="11"/>
      <c r="AH63" s="11"/>
      <c r="AI63" s="11"/>
      <c r="AJ63" s="11"/>
    </row>
    <row r="64" ht="15" customHeight="1">
      <c r="A64" s="46">
        <v>9</v>
      </c>
      <c r="B64" s="37">
        <v>11303</v>
      </c>
      <c r="C64" s="57">
        <v>40742.854166666664</v>
      </c>
      <c r="D64" s="39">
        <v>3805.5</v>
      </c>
      <c r="E64" s="39">
        <v>9.529999999999999</v>
      </c>
      <c r="F64" t="s" s="47">
        <v>44</v>
      </c>
      <c r="G64" s="39">
        <v>126</v>
      </c>
      <c r="H64" s="39">
        <v>97.90646702453979</v>
      </c>
      <c r="I64" t="s" s="47">
        <v>44</v>
      </c>
      <c r="J64" s="39">
        <v>126</v>
      </c>
      <c r="K64" s="39">
        <v>98.09999999999999</v>
      </c>
      <c r="L64" s="39">
        <v>40</v>
      </c>
      <c r="M64" s="39">
        <v>31.6935222392638</v>
      </c>
      <c r="N64" t="s" s="47">
        <v>44</v>
      </c>
      <c r="O64" t="s" s="47">
        <v>44</v>
      </c>
      <c r="P64" s="39">
        <v>142.426142638037</v>
      </c>
      <c r="Q64" s="39">
        <v>18.823301993865</v>
      </c>
      <c r="R64" s="39">
        <v>0.883810909509203</v>
      </c>
      <c r="S64" s="39">
        <v>1161.524112149530</v>
      </c>
      <c r="T64" s="39">
        <v>33.1</v>
      </c>
      <c r="U64" s="39">
        <v>0.3</v>
      </c>
      <c r="V64" s="39">
        <v>19.2</v>
      </c>
      <c r="W64" t="s" s="47">
        <v>44</v>
      </c>
      <c r="X64" t="s" s="47">
        <v>44</v>
      </c>
      <c r="Y64" t="s" s="47">
        <v>44</v>
      </c>
      <c r="Z64" s="41">
        <v>95.09999999999999</v>
      </c>
      <c r="AA64" s="42" cm="1">
        <f t="array" ref="AA64">Z64/1.01325</f>
        <v>93.85640266469279</v>
      </c>
      <c r="AB64" s="11"/>
      <c r="AC64" s="11"/>
      <c r="AD64" s="11"/>
      <c r="AE64" s="11"/>
      <c r="AF64" s="11"/>
      <c r="AG64" s="11"/>
      <c r="AH64" s="11"/>
      <c r="AI64" s="11"/>
      <c r="AJ64" s="11"/>
    </row>
    <row r="65" ht="15" customHeight="1">
      <c r="A65" s="36">
        <v>4</v>
      </c>
      <c r="B65" s="37">
        <v>11501</v>
      </c>
      <c r="C65" s="57">
        <v>39448</v>
      </c>
      <c r="D65" s="39">
        <v>3521.5</v>
      </c>
      <c r="E65" s="37">
        <v>9.529999999999999</v>
      </c>
      <c r="F65" s="39">
        <v>413.8</v>
      </c>
      <c r="G65" s="39">
        <v>316.923076923077</v>
      </c>
      <c r="H65" s="39">
        <v>93.24245669291339</v>
      </c>
      <c r="I65" s="39">
        <v>414.2</v>
      </c>
      <c r="J65" s="39">
        <v>315</v>
      </c>
      <c r="K65" s="39">
        <v>95.59999999999999</v>
      </c>
      <c r="L65" s="39">
        <v>53</v>
      </c>
      <c r="M65" s="39">
        <v>25.1981181102362</v>
      </c>
      <c r="N65" s="39">
        <v>25</v>
      </c>
      <c r="O65" s="39">
        <v>109.21</v>
      </c>
      <c r="P65" s="39">
        <v>458.977874015748</v>
      </c>
      <c r="Q65" s="39">
        <v>62.4566167979004</v>
      </c>
      <c r="R65" s="40">
        <v>2.64618963254593</v>
      </c>
      <c r="S65" s="39">
        <v>3844.7</v>
      </c>
      <c r="T65" s="39">
        <v>99.3</v>
      </c>
      <c r="U65" s="39">
        <v>2.8</v>
      </c>
      <c r="V65" s="39">
        <v>20.2</v>
      </c>
      <c r="W65" s="39">
        <v>46.26</v>
      </c>
      <c r="X65" s="39">
        <v>53</v>
      </c>
      <c r="Y65" s="39">
        <v>54.7</v>
      </c>
      <c r="Z65" s="41"/>
      <c r="AA65" s="42" cm="1">
        <f t="array" ref="AA65">Z65/1.01325</f>
        <v>0</v>
      </c>
      <c r="AB65" s="11"/>
      <c r="AC65" s="49">
        <v>791</v>
      </c>
      <c r="AD65" s="11"/>
      <c r="AE65" s="49">
        <v>0.642</v>
      </c>
      <c r="AF65" s="11"/>
      <c r="AG65" s="11"/>
      <c r="AH65" s="49">
        <v>0.108</v>
      </c>
      <c r="AI65" s="11"/>
      <c r="AJ65" s="11"/>
    </row>
    <row r="66" ht="12.75" customHeight="1">
      <c r="A66" s="44"/>
      <c r="B66" s="37">
        <v>11501</v>
      </c>
      <c r="C66" s="57">
        <v>39451</v>
      </c>
      <c r="D66" s="39">
        <v>3521.5</v>
      </c>
      <c r="E66" s="39">
        <v>11.11</v>
      </c>
      <c r="F66" s="39">
        <v>380.2</v>
      </c>
      <c r="G66" s="39">
        <v>282.818181818182</v>
      </c>
      <c r="H66" s="39">
        <v>86.1293984251969</v>
      </c>
      <c r="I66" s="39">
        <v>380.6</v>
      </c>
      <c r="J66" s="39">
        <v>280</v>
      </c>
      <c r="K66" s="39">
        <v>85.2</v>
      </c>
      <c r="L66" s="39">
        <v>57</v>
      </c>
      <c r="M66" s="39">
        <v>31.0651433070866</v>
      </c>
      <c r="N66" s="39">
        <v>30</v>
      </c>
      <c r="O66" s="39">
        <v>109.34</v>
      </c>
      <c r="P66" s="39">
        <v>538.181874015748</v>
      </c>
      <c r="Q66" s="39">
        <v>80.3608992125983</v>
      </c>
      <c r="R66" s="40">
        <v>3.57539622047244</v>
      </c>
      <c r="S66" s="39">
        <v>5063.3</v>
      </c>
      <c r="T66" s="39">
        <v>122.4</v>
      </c>
      <c r="U66" s="39">
        <v>3.7</v>
      </c>
      <c r="V66" s="39">
        <v>20.2</v>
      </c>
      <c r="W66" s="39">
        <v>46.26</v>
      </c>
      <c r="X66" s="39">
        <v>53</v>
      </c>
      <c r="Y66" s="39">
        <v>54.7</v>
      </c>
      <c r="Z66" s="41"/>
      <c r="AA66" s="42" cm="1">
        <f t="array" ref="AA66">Z66/1.01325</f>
        <v>0</v>
      </c>
      <c r="AB66" s="11"/>
      <c r="AC66" s="49">
        <v>791</v>
      </c>
      <c r="AD66" s="11"/>
      <c r="AE66" s="49">
        <v>0.642</v>
      </c>
      <c r="AF66" s="11"/>
      <c r="AG66" s="11"/>
      <c r="AH66" s="49">
        <v>0.118</v>
      </c>
      <c r="AI66" s="11"/>
      <c r="AJ66" s="11"/>
    </row>
    <row r="67" ht="12.75" customHeight="1">
      <c r="A67" s="44"/>
      <c r="B67" s="37">
        <v>11501</v>
      </c>
      <c r="C67" s="57">
        <v>39454</v>
      </c>
      <c r="D67" s="39">
        <v>3521.5</v>
      </c>
      <c r="E67" s="39">
        <v>12.7</v>
      </c>
      <c r="F67" s="39">
        <v>345.7</v>
      </c>
      <c r="G67" s="39">
        <v>247.571428571429</v>
      </c>
      <c r="H67" s="39">
        <v>92.3541645274211</v>
      </c>
      <c r="I67" s="39">
        <v>358.1</v>
      </c>
      <c r="J67" s="39">
        <v>243</v>
      </c>
      <c r="K67" s="39">
        <v>91.40000000000001</v>
      </c>
      <c r="L67" s="39">
        <v>57</v>
      </c>
      <c r="M67" s="39">
        <v>37.422756126021</v>
      </c>
      <c r="N67" s="39">
        <v>37</v>
      </c>
      <c r="O67" s="39">
        <v>109.27</v>
      </c>
      <c r="P67" s="39">
        <v>627.529264877479</v>
      </c>
      <c r="Q67" s="39">
        <v>79.4619883313886</v>
      </c>
      <c r="R67" s="40">
        <v>3.9133528588098</v>
      </c>
      <c r="S67" s="39">
        <v>5742.4</v>
      </c>
      <c r="T67" s="39">
        <v>126.4</v>
      </c>
      <c r="U67" s="39">
        <v>4.2</v>
      </c>
      <c r="V67" s="39">
        <v>20.2</v>
      </c>
      <c r="W67" s="39">
        <v>46.26</v>
      </c>
      <c r="X67" s="39">
        <v>53</v>
      </c>
      <c r="Y67" s="39">
        <v>54.7</v>
      </c>
      <c r="Z67" s="41"/>
      <c r="AA67" s="42" cm="1">
        <f t="array" ref="AA67">Z67/1.01325</f>
        <v>0</v>
      </c>
      <c r="AB67" s="11"/>
      <c r="AC67" s="49">
        <v>791</v>
      </c>
      <c r="AD67" s="11"/>
      <c r="AE67" s="49">
        <v>0.642</v>
      </c>
      <c r="AF67" s="11"/>
      <c r="AG67" s="11"/>
      <c r="AH67" s="49">
        <v>0.1</v>
      </c>
      <c r="AI67" s="11"/>
      <c r="AJ67" s="11"/>
    </row>
    <row r="68" ht="12.75" customHeight="1">
      <c r="A68" s="45"/>
      <c r="B68" s="37">
        <v>11501</v>
      </c>
      <c r="C68" s="57">
        <v>39457</v>
      </c>
      <c r="D68" s="39">
        <v>3521.5</v>
      </c>
      <c r="E68" s="37">
        <v>14.29</v>
      </c>
      <c r="F68" s="39">
        <v>315.8</v>
      </c>
      <c r="G68" s="39">
        <v>217.818181818182</v>
      </c>
      <c r="H68" s="39">
        <v>84.6037516556291</v>
      </c>
      <c r="I68" s="39">
        <v>316.4</v>
      </c>
      <c r="J68" s="39">
        <v>210</v>
      </c>
      <c r="K68" s="39">
        <v>83.90000000000001</v>
      </c>
      <c r="L68" s="39">
        <v>52</v>
      </c>
      <c r="M68" s="39">
        <v>39.2735579470199</v>
      </c>
      <c r="N68" s="39">
        <v>39</v>
      </c>
      <c r="O68" s="39">
        <v>109.06</v>
      </c>
      <c r="P68" s="39">
        <v>680.369205298013</v>
      </c>
      <c r="Q68" s="39">
        <v>76.5134271523178</v>
      </c>
      <c r="R68" s="40">
        <v>5.03155331125827</v>
      </c>
      <c r="S68" s="39">
        <v>6942</v>
      </c>
      <c r="T68" s="39">
        <v>126</v>
      </c>
      <c r="U68" s="39">
        <v>5.7</v>
      </c>
      <c r="V68" s="39">
        <v>20.2</v>
      </c>
      <c r="W68" s="39">
        <v>46.26</v>
      </c>
      <c r="X68" s="39">
        <v>53</v>
      </c>
      <c r="Y68" s="39">
        <v>54.7</v>
      </c>
      <c r="Z68" s="41"/>
      <c r="AA68" s="42" cm="1">
        <f t="array" ref="AA68">Z68/1.01325</f>
        <v>0</v>
      </c>
      <c r="AB68" s="11"/>
      <c r="AC68" s="49">
        <v>791</v>
      </c>
      <c r="AD68" s="11"/>
      <c r="AE68" s="49">
        <v>0.642</v>
      </c>
      <c r="AF68" s="11"/>
      <c r="AG68" s="11"/>
      <c r="AH68" s="49">
        <v>0.089</v>
      </c>
      <c r="AI68" s="11"/>
      <c r="AJ68" s="11"/>
    </row>
    <row r="69" ht="15" customHeight="1">
      <c r="A69" s="36">
        <v>5</v>
      </c>
      <c r="B69" s="37">
        <v>11501</v>
      </c>
      <c r="C69" s="57">
        <v>39657</v>
      </c>
      <c r="D69" s="39">
        <v>3518</v>
      </c>
      <c r="E69" s="37">
        <v>7.94</v>
      </c>
      <c r="F69" s="39">
        <v>434</v>
      </c>
      <c r="G69" s="39">
        <v>339</v>
      </c>
      <c r="H69" s="39">
        <v>92.7991475409837</v>
      </c>
      <c r="I69" s="39">
        <v>434</v>
      </c>
      <c r="J69" s="39">
        <v>339</v>
      </c>
      <c r="K69" s="39">
        <v>93.5</v>
      </c>
      <c r="L69" s="39">
        <v>51</v>
      </c>
      <c r="M69" s="39">
        <v>18.2182786885246</v>
      </c>
      <c r="N69" s="39">
        <v>18.2</v>
      </c>
      <c r="O69" s="39">
        <v>109.91</v>
      </c>
      <c r="P69" s="39">
        <v>343.084426229508</v>
      </c>
      <c r="Q69" s="39">
        <v>39.8547418032787</v>
      </c>
      <c r="R69" s="40">
        <v>0.393421224489796</v>
      </c>
      <c r="S69" s="39">
        <v>2770.617111111120</v>
      </c>
      <c r="T69" s="39">
        <v>60.1</v>
      </c>
      <c r="U69" s="39">
        <v>0.4</v>
      </c>
      <c r="V69" s="39">
        <v>20.2</v>
      </c>
      <c r="W69" s="39">
        <v>45.83</v>
      </c>
      <c r="X69" s="39">
        <v>52.9</v>
      </c>
      <c r="Y69" s="39">
        <v>52.9</v>
      </c>
      <c r="Z69" s="41"/>
      <c r="AA69" s="42" cm="1">
        <f t="array" ref="AA69">Z69/1.01325</f>
        <v>0</v>
      </c>
      <c r="AB69" s="11"/>
      <c r="AC69" s="49">
        <v>792</v>
      </c>
      <c r="AD69" s="11"/>
      <c r="AE69" s="49">
        <v>0.643</v>
      </c>
      <c r="AF69" s="11"/>
      <c r="AG69" s="11"/>
      <c r="AH69" s="49">
        <v>0.092</v>
      </c>
      <c r="AI69" s="11"/>
      <c r="AJ69" s="11"/>
    </row>
    <row r="70" ht="12.75" customHeight="1">
      <c r="A70" s="44"/>
      <c r="B70" s="37">
        <v>11501</v>
      </c>
      <c r="C70" s="57">
        <v>39659</v>
      </c>
      <c r="D70" s="39">
        <v>3518</v>
      </c>
      <c r="E70" s="39">
        <v>9.529999999999999</v>
      </c>
      <c r="F70" s="39">
        <v>406.7</v>
      </c>
      <c r="G70" s="39">
        <v>310</v>
      </c>
      <c r="H70" s="39">
        <v>97.69825842696631</v>
      </c>
      <c r="I70" s="39">
        <v>406.6</v>
      </c>
      <c r="J70" s="39">
        <v>310</v>
      </c>
      <c r="K70" s="39">
        <v>96</v>
      </c>
      <c r="L70" s="39">
        <v>59</v>
      </c>
      <c r="M70" s="39">
        <v>28.5965805243446</v>
      </c>
      <c r="N70" s="39">
        <v>27.8</v>
      </c>
      <c r="O70" s="39">
        <v>109.85</v>
      </c>
      <c r="P70" s="39">
        <v>454.975318352060</v>
      </c>
      <c r="Q70" s="39">
        <v>44.7501573033708</v>
      </c>
      <c r="R70" s="40">
        <v>0.761440037453183</v>
      </c>
      <c r="S70" s="39">
        <v>3758.703774903880</v>
      </c>
      <c r="T70" s="39">
        <v>74.8</v>
      </c>
      <c r="U70" s="39">
        <v>0.8</v>
      </c>
      <c r="V70" s="39">
        <v>20.2</v>
      </c>
      <c r="W70" s="39">
        <v>45.83</v>
      </c>
      <c r="X70" s="39">
        <v>52.9</v>
      </c>
      <c r="Y70" s="39">
        <v>52.9</v>
      </c>
      <c r="Z70" s="41">
        <v>89</v>
      </c>
      <c r="AA70" s="42" cm="1">
        <f t="array" ref="AA70">Z70/1.01325</f>
        <v>87.8361707377251</v>
      </c>
      <c r="AB70" s="11"/>
      <c r="AC70" s="49">
        <v>792</v>
      </c>
      <c r="AD70" s="11"/>
      <c r="AE70" s="49">
        <v>0.643</v>
      </c>
      <c r="AF70" s="11"/>
      <c r="AG70" s="11"/>
      <c r="AH70" s="49">
        <v>0.078</v>
      </c>
      <c r="AI70" s="11"/>
      <c r="AJ70" s="11"/>
    </row>
    <row r="71" ht="12.75" customHeight="1">
      <c r="A71" s="44"/>
      <c r="B71" s="37">
        <v>11501</v>
      </c>
      <c r="C71" s="57">
        <v>39661</v>
      </c>
      <c r="D71" s="39">
        <v>3518</v>
      </c>
      <c r="E71" s="39">
        <v>11.11</v>
      </c>
      <c r="F71" s="39">
        <v>376</v>
      </c>
      <c r="G71" s="39">
        <v>282.928571428571</v>
      </c>
      <c r="H71" s="39">
        <v>94.6768631319359</v>
      </c>
      <c r="I71" s="39">
        <v>376</v>
      </c>
      <c r="J71" s="39">
        <v>283</v>
      </c>
      <c r="K71" s="39">
        <v>94.8</v>
      </c>
      <c r="L71" s="39">
        <v>64</v>
      </c>
      <c r="M71" s="39">
        <v>34.776261405672</v>
      </c>
      <c r="N71" s="39">
        <v>34.4</v>
      </c>
      <c r="O71" s="39">
        <v>109.7</v>
      </c>
      <c r="P71" s="39">
        <v>542.162342786683</v>
      </c>
      <c r="Q71" s="39">
        <v>57.5163970406905</v>
      </c>
      <c r="R71" s="40">
        <v>1.85493845869297</v>
      </c>
      <c r="S71" s="39">
        <v>4860.507918308860</v>
      </c>
      <c r="T71" s="39">
        <v>86.2</v>
      </c>
      <c r="U71" s="39">
        <v>1.8</v>
      </c>
      <c r="V71" s="39">
        <v>20.2</v>
      </c>
      <c r="W71" s="39">
        <v>45.83</v>
      </c>
      <c r="X71" s="39">
        <v>52.9</v>
      </c>
      <c r="Y71" s="39">
        <v>52.9</v>
      </c>
      <c r="Z71" s="41">
        <v>92</v>
      </c>
      <c r="AA71" s="42" cm="1">
        <f t="array" ref="AA71">Z71/1.01325</f>
        <v>90.7969405378732</v>
      </c>
      <c r="AB71" s="11"/>
      <c r="AC71" s="49">
        <v>792</v>
      </c>
      <c r="AD71" s="11"/>
      <c r="AE71" s="49">
        <v>0.643</v>
      </c>
      <c r="AF71" s="11"/>
      <c r="AG71" s="11"/>
      <c r="AH71" s="49">
        <v>0.08400000000000001</v>
      </c>
      <c r="AI71" s="11"/>
      <c r="AJ71" s="11"/>
    </row>
    <row r="72" ht="12.75" customHeight="1">
      <c r="A72" s="44"/>
      <c r="B72" s="37">
        <v>11501</v>
      </c>
      <c r="C72" s="57">
        <v>39663</v>
      </c>
      <c r="D72" s="39">
        <v>3518</v>
      </c>
      <c r="E72" s="37">
        <v>12.7</v>
      </c>
      <c r="F72" s="39">
        <v>342.3</v>
      </c>
      <c r="G72" s="39">
        <v>247.666666666667</v>
      </c>
      <c r="H72" s="39">
        <v>96.738141025641</v>
      </c>
      <c r="I72" s="39">
        <v>342.2</v>
      </c>
      <c r="J72" s="39">
        <v>245</v>
      </c>
      <c r="K72" s="39">
        <v>96.8</v>
      </c>
      <c r="L72" s="39">
        <v>67</v>
      </c>
      <c r="M72" s="39">
        <v>41.9481047008547</v>
      </c>
      <c r="N72" s="39">
        <v>41.8</v>
      </c>
      <c r="O72" s="39">
        <v>109.4</v>
      </c>
      <c r="P72" s="39">
        <v>626.070940170940</v>
      </c>
      <c r="Q72" s="39">
        <v>65.69981837606839</v>
      </c>
      <c r="R72" s="40">
        <v>2.61317628205128</v>
      </c>
      <c r="S72" s="39">
        <v>5755.103147953830</v>
      </c>
      <c r="T72" s="39">
        <v>102.5</v>
      </c>
      <c r="U72" s="39">
        <v>2.7</v>
      </c>
      <c r="V72" s="39">
        <v>20.2</v>
      </c>
      <c r="W72" s="39">
        <v>45.83</v>
      </c>
      <c r="X72" s="39">
        <v>52.9</v>
      </c>
      <c r="Y72" s="39">
        <v>52.9</v>
      </c>
      <c r="Z72" s="41">
        <v>88.2</v>
      </c>
      <c r="AA72" s="42" cm="1">
        <f t="array" ref="AA72">Z72/1.01325</f>
        <v>87.0466321243523</v>
      </c>
      <c r="AB72" s="11"/>
      <c r="AC72" s="49">
        <v>792</v>
      </c>
      <c r="AD72" s="11"/>
      <c r="AE72" s="49">
        <v>0.643</v>
      </c>
      <c r="AF72" s="11"/>
      <c r="AG72" s="11"/>
      <c r="AH72" s="49">
        <v>0.083</v>
      </c>
      <c r="AI72" s="11"/>
      <c r="AJ72" s="11"/>
    </row>
    <row r="73" ht="12.75" customHeight="1">
      <c r="A73" s="45"/>
      <c r="B73" s="37">
        <v>11501</v>
      </c>
      <c r="C73" s="57">
        <v>39665</v>
      </c>
      <c r="D73" s="39">
        <v>3518</v>
      </c>
      <c r="E73" s="37">
        <v>14.29</v>
      </c>
      <c r="F73" s="39">
        <v>314.1</v>
      </c>
      <c r="G73" s="39">
        <v>221</v>
      </c>
      <c r="H73" s="39">
        <v>96.8368557504873</v>
      </c>
      <c r="I73" s="39">
        <v>314</v>
      </c>
      <c r="J73" s="39">
        <v>221</v>
      </c>
      <c r="K73" s="39">
        <v>97.3</v>
      </c>
      <c r="L73" s="39">
        <v>68</v>
      </c>
      <c r="M73" s="39">
        <v>46.3515497076023</v>
      </c>
      <c r="N73" s="39">
        <v>46</v>
      </c>
      <c r="O73" s="39">
        <v>109.1</v>
      </c>
      <c r="P73" s="39">
        <v>661.441286549708</v>
      </c>
      <c r="Q73" s="39">
        <v>80.6208635477584</v>
      </c>
      <c r="R73" s="40">
        <v>3.56090389863548</v>
      </c>
      <c r="S73" s="39">
        <v>6179.535923749550</v>
      </c>
      <c r="T73" s="39">
        <v>117.8</v>
      </c>
      <c r="U73" s="39">
        <v>3.5</v>
      </c>
      <c r="V73" s="39">
        <v>20.2</v>
      </c>
      <c r="W73" s="39">
        <v>45.83</v>
      </c>
      <c r="X73" s="39">
        <v>52.9</v>
      </c>
      <c r="Y73" s="39">
        <v>52.9</v>
      </c>
      <c r="Z73" s="41">
        <v>89.8</v>
      </c>
      <c r="AA73" s="42" cm="1">
        <f t="array" ref="AA73">Z73/1.01325</f>
        <v>88.625709351098</v>
      </c>
      <c r="AB73" s="11"/>
      <c r="AC73" s="49">
        <v>792</v>
      </c>
      <c r="AD73" s="11"/>
      <c r="AE73" s="49">
        <v>0.643</v>
      </c>
      <c r="AF73" s="11"/>
      <c r="AG73" s="11"/>
      <c r="AH73" s="49">
        <v>0.097</v>
      </c>
      <c r="AI73" s="11"/>
      <c r="AJ73" s="11"/>
    </row>
    <row r="74" ht="13.5" customHeight="1">
      <c r="A74" s="36">
        <v>4</v>
      </c>
      <c r="B74" s="37">
        <v>11501</v>
      </c>
      <c r="C74" s="57">
        <v>40305</v>
      </c>
      <c r="D74" s="39">
        <v>3518.5</v>
      </c>
      <c r="E74" s="37">
        <v>9.529999999999999</v>
      </c>
      <c r="F74" s="39">
        <v>210</v>
      </c>
      <c r="G74" s="39">
        <v>161.833333333333</v>
      </c>
      <c r="H74" s="39">
        <v>98.3383427207639</v>
      </c>
      <c r="I74" s="39">
        <v>209.3</v>
      </c>
      <c r="J74" s="39">
        <v>161</v>
      </c>
      <c r="K74" s="39">
        <v>99.40000000000001</v>
      </c>
      <c r="L74" s="39">
        <v>46</v>
      </c>
      <c r="M74" s="39">
        <v>31.7650210023867</v>
      </c>
      <c r="N74" s="39">
        <v>31.8</v>
      </c>
      <c r="O74" s="39">
        <v>107.4</v>
      </c>
      <c r="P74" s="39">
        <v>232.463451073986</v>
      </c>
      <c r="Q74" s="39">
        <v>24.0521140811456</v>
      </c>
      <c r="R74" s="40">
        <v>3.23843293556086</v>
      </c>
      <c r="S74" s="39">
        <v>1907.202004531990</v>
      </c>
      <c r="T74" s="39">
        <v>36.7</v>
      </c>
      <c r="U74" s="39">
        <v>3.4</v>
      </c>
      <c r="V74" s="39">
        <v>44.21286</v>
      </c>
      <c r="W74" s="39">
        <v>28.05</v>
      </c>
      <c r="X74" t="s" s="47">
        <v>44</v>
      </c>
      <c r="Y74" t="s" s="47">
        <v>44</v>
      </c>
      <c r="Z74" s="41">
        <v>88.5</v>
      </c>
      <c r="AA74" s="42" cm="1">
        <f t="array" ref="AA74">Z74/1.01325</f>
        <v>87.3427091043671</v>
      </c>
      <c r="AB74" s="11"/>
      <c r="AC74" s="49">
        <v>779.8</v>
      </c>
      <c r="AD74" s="11"/>
      <c r="AE74" s="49">
        <v>0.653</v>
      </c>
      <c r="AF74" s="11"/>
      <c r="AG74" s="11"/>
      <c r="AH74" s="49">
        <v>0.081</v>
      </c>
      <c r="AI74" s="11"/>
      <c r="AJ74" s="11"/>
    </row>
    <row r="75" ht="15" customHeight="1">
      <c r="A75" s="44"/>
      <c r="B75" s="37">
        <v>11501</v>
      </c>
      <c r="C75" s="57">
        <v>40309</v>
      </c>
      <c r="D75" s="39">
        <v>3518.5</v>
      </c>
      <c r="E75" s="39">
        <v>11.11</v>
      </c>
      <c r="F75" s="39">
        <v>201.5</v>
      </c>
      <c r="G75" s="39">
        <v>149.785714285714</v>
      </c>
      <c r="H75" s="39">
        <v>100.205657314629</v>
      </c>
      <c r="I75" s="39">
        <v>197.2</v>
      </c>
      <c r="J75" s="39">
        <v>149</v>
      </c>
      <c r="K75" s="39">
        <v>100.3</v>
      </c>
      <c r="L75" s="39">
        <v>48</v>
      </c>
      <c r="M75" s="39">
        <v>39.3573179692718</v>
      </c>
      <c r="N75" s="39">
        <v>39.2</v>
      </c>
      <c r="O75" s="39">
        <v>107.3</v>
      </c>
      <c r="P75" s="39">
        <v>290.618363393454</v>
      </c>
      <c r="Q75" s="39">
        <v>13.2974759519038</v>
      </c>
      <c r="R75" s="40">
        <v>3.18476818303273</v>
      </c>
      <c r="S75" s="39">
        <v>2396.706529688310</v>
      </c>
      <c r="T75" s="39">
        <v>21.8</v>
      </c>
      <c r="U75" s="39">
        <v>3.3</v>
      </c>
      <c r="V75" s="39">
        <v>44.21286</v>
      </c>
      <c r="W75" s="39">
        <v>28.05</v>
      </c>
      <c r="X75" t="s" s="47">
        <v>44</v>
      </c>
      <c r="Y75" t="s" s="47">
        <v>44</v>
      </c>
      <c r="Z75" s="41">
        <v>92.40000000000001</v>
      </c>
      <c r="AA75" s="42" cm="1">
        <f t="array" ref="AA75">Z75/1.01325</f>
        <v>91.1917098445596</v>
      </c>
      <c r="AB75" s="11"/>
      <c r="AC75" s="49">
        <v>779.8</v>
      </c>
      <c r="AD75" s="11"/>
      <c r="AE75" s="49">
        <v>0.653</v>
      </c>
      <c r="AF75" s="11"/>
      <c r="AG75" s="11"/>
      <c r="AH75" s="49">
        <v>0.036</v>
      </c>
      <c r="AI75" s="11"/>
      <c r="AJ75" s="11"/>
    </row>
    <row r="76" ht="15.75" customHeight="1">
      <c r="A76" s="45"/>
      <c r="B76" s="37">
        <v>11501</v>
      </c>
      <c r="C76" s="57">
        <v>40313</v>
      </c>
      <c r="D76" s="39">
        <v>3518.5</v>
      </c>
      <c r="E76" s="39">
        <v>12.7</v>
      </c>
      <c r="F76" s="39">
        <v>190</v>
      </c>
      <c r="G76" s="39">
        <v>140.5</v>
      </c>
      <c r="H76" s="39">
        <v>101.108830364059</v>
      </c>
      <c r="I76" s="39">
        <v>186.6</v>
      </c>
      <c r="J76" s="39">
        <v>140</v>
      </c>
      <c r="K76" s="39">
        <v>101.7</v>
      </c>
      <c r="L76" s="39">
        <v>49</v>
      </c>
      <c r="M76" s="39">
        <v>42.8879821843532</v>
      </c>
      <c r="N76" s="39">
        <v>42.5</v>
      </c>
      <c r="O76" s="39">
        <v>107.1</v>
      </c>
      <c r="P76" s="39">
        <v>320.643485670023</v>
      </c>
      <c r="Q76" s="39">
        <v>8.480664074360959</v>
      </c>
      <c r="R76" s="40">
        <v>2.57364620836561</v>
      </c>
      <c r="S76" s="39">
        <v>2650.978530484630</v>
      </c>
      <c r="T76" s="39">
        <v>13.9</v>
      </c>
      <c r="U76" s="39">
        <v>2.8</v>
      </c>
      <c r="V76" s="39">
        <v>44.21286</v>
      </c>
      <c r="W76" s="39">
        <v>28.05</v>
      </c>
      <c r="X76" t="s" s="47">
        <v>44</v>
      </c>
      <c r="Y76" t="s" s="47">
        <v>44</v>
      </c>
      <c r="Z76" s="41">
        <v>92.8</v>
      </c>
      <c r="AA76" s="42" cm="1">
        <f t="array" ref="AA76">Z76/1.01325</f>
        <v>91.586479151246</v>
      </c>
      <c r="AB76" s="11"/>
      <c r="AC76" s="49">
        <v>779.8</v>
      </c>
      <c r="AD76" s="11"/>
      <c r="AE76" s="49">
        <v>0.653</v>
      </c>
      <c r="AF76" s="11"/>
      <c r="AG76" s="11"/>
      <c r="AH76" s="49">
        <v>0.021</v>
      </c>
      <c r="AI76" s="11"/>
      <c r="AJ76" s="11"/>
    </row>
    <row r="77" ht="15" customHeight="1">
      <c r="A77" s="46">
        <v>10</v>
      </c>
      <c r="B77" s="37">
        <v>11501</v>
      </c>
      <c r="C77" s="57">
        <v>40780</v>
      </c>
      <c r="D77" s="39">
        <v>3518.5</v>
      </c>
      <c r="E77" s="39">
        <v>9.529999999999999</v>
      </c>
      <c r="F77" t="s" s="47">
        <v>44</v>
      </c>
      <c r="G77" s="39">
        <v>135</v>
      </c>
      <c r="H77" s="39">
        <v>97.8298380820015</v>
      </c>
      <c r="I77" t="s" s="47">
        <v>44</v>
      </c>
      <c r="J77" s="39">
        <v>135</v>
      </c>
      <c r="K77" s="39">
        <v>93.59999999999999</v>
      </c>
      <c r="L77" s="39">
        <v>42</v>
      </c>
      <c r="M77" s="39">
        <v>32.8144822793607</v>
      </c>
      <c r="N77" t="s" s="47">
        <v>44</v>
      </c>
      <c r="O77" t="s" s="47">
        <v>44</v>
      </c>
      <c r="P77" s="39">
        <v>176.590736622655</v>
      </c>
      <c r="Q77" s="39">
        <v>15.6493342599027</v>
      </c>
      <c r="R77" s="39">
        <v>0.215696805420431</v>
      </c>
      <c r="S77" s="39">
        <v>1485.1</v>
      </c>
      <c r="T77" s="39">
        <v>24</v>
      </c>
      <c r="U77" s="39">
        <v>0.2</v>
      </c>
      <c r="V77" s="39">
        <v>44.2</v>
      </c>
      <c r="W77" t="s" s="47">
        <v>44</v>
      </c>
      <c r="X77" t="s" s="47">
        <v>44</v>
      </c>
      <c r="Y77" t="s" s="47">
        <v>44</v>
      </c>
      <c r="Z77" s="41">
        <v>93.3</v>
      </c>
      <c r="AA77" s="42" cm="1">
        <f t="array" ref="AA77">Z77/1.01325</f>
        <v>92.07994078460401</v>
      </c>
      <c r="AB77" s="11"/>
      <c r="AC77" s="49">
        <v>767.2</v>
      </c>
      <c r="AD77" s="11"/>
      <c r="AE77" s="49">
        <v>0.65</v>
      </c>
      <c r="AF77" s="11"/>
      <c r="AG77" s="11"/>
      <c r="AH77" s="49">
        <v>0.068</v>
      </c>
      <c r="AI77" s="11"/>
      <c r="AJ77" s="11"/>
    </row>
    <row r="78" ht="15" customHeight="1">
      <c r="A78" s="36">
        <v>5</v>
      </c>
      <c r="B78" s="37">
        <v>11503</v>
      </c>
      <c r="C78" s="57">
        <v>39425</v>
      </c>
      <c r="D78" s="39">
        <v>3517</v>
      </c>
      <c r="E78" s="37">
        <v>9.529999999999999</v>
      </c>
      <c r="F78" s="39">
        <v>310.5</v>
      </c>
      <c r="G78" s="39">
        <v>246.166666666667</v>
      </c>
      <c r="H78" s="39">
        <v>90.78453437500001</v>
      </c>
      <c r="I78" s="39"/>
      <c r="J78" s="74">
        <v>250</v>
      </c>
      <c r="K78" s="39">
        <v>94.4386129032258</v>
      </c>
      <c r="L78" s="39">
        <v>49</v>
      </c>
      <c r="M78" s="39">
        <v>21.828171875</v>
      </c>
      <c r="N78" s="39">
        <v>22.2</v>
      </c>
      <c r="O78" s="39">
        <v>101.4</v>
      </c>
      <c r="P78" s="39">
        <v>353.929578125</v>
      </c>
      <c r="Q78" s="39">
        <v>50.92205625</v>
      </c>
      <c r="R78" s="40">
        <v>2.646296875</v>
      </c>
      <c r="S78" s="39">
        <v>2923.975791695990</v>
      </c>
      <c r="T78" s="39">
        <v>81</v>
      </c>
      <c r="U78" s="39">
        <v>3</v>
      </c>
      <c r="V78" s="39">
        <v>39.5</v>
      </c>
      <c r="W78" t="s" s="47">
        <v>44</v>
      </c>
      <c r="X78" t="s" s="47">
        <v>44</v>
      </c>
      <c r="Y78" t="s" s="47">
        <v>44</v>
      </c>
      <c r="Z78" s="41"/>
      <c r="AA78" s="42" cm="1">
        <f t="array" ref="AA78">Z78/1.01325</f>
        <v>0</v>
      </c>
      <c r="AB78" s="11"/>
      <c r="AC78" s="49">
        <v>782</v>
      </c>
      <c r="AD78" s="11"/>
      <c r="AE78" s="49">
        <v>0.659</v>
      </c>
      <c r="AF78" s="11"/>
      <c r="AG78" s="11"/>
      <c r="AH78" s="49">
        <v>0.112</v>
      </c>
      <c r="AI78" s="11"/>
      <c r="AJ78" s="11"/>
    </row>
    <row r="79" ht="12.75" customHeight="1">
      <c r="A79" s="44"/>
      <c r="B79" s="37">
        <v>11503</v>
      </c>
      <c r="C79" s="57">
        <v>39428</v>
      </c>
      <c r="D79" s="39">
        <v>3517</v>
      </c>
      <c r="E79" s="37">
        <v>11.11</v>
      </c>
      <c r="F79" s="39">
        <v>289.4</v>
      </c>
      <c r="G79" s="39">
        <v>222.125</v>
      </c>
      <c r="H79" s="39">
        <v>105.546193029491</v>
      </c>
      <c r="I79" s="39"/>
      <c r="J79" s="74">
        <v>220</v>
      </c>
      <c r="K79" s="39">
        <v>110.654516129032</v>
      </c>
      <c r="L79" s="39">
        <v>74</v>
      </c>
      <c r="M79" s="39">
        <v>30.6258096514745</v>
      </c>
      <c r="N79" s="39">
        <v>29</v>
      </c>
      <c r="O79" s="39">
        <v>101.85</v>
      </c>
      <c r="P79" s="39">
        <v>438.646112600536</v>
      </c>
      <c r="Q79" s="39">
        <v>55.6560938337802</v>
      </c>
      <c r="R79" s="40">
        <v>2.28435549597855</v>
      </c>
      <c r="S79" s="39">
        <v>3210.507211961310</v>
      </c>
      <c r="T79" s="39">
        <v>98</v>
      </c>
      <c r="U79" s="39">
        <v>3</v>
      </c>
      <c r="V79" s="39">
        <v>39.5</v>
      </c>
      <c r="W79" t="s" s="47">
        <v>44</v>
      </c>
      <c r="X79" t="s" s="47">
        <v>44</v>
      </c>
      <c r="Y79" t="s" s="47">
        <v>44</v>
      </c>
      <c r="Z79" s="41"/>
      <c r="AA79" s="42" cm="1">
        <f t="array" ref="AA79">Z79/1.01325</f>
        <v>0</v>
      </c>
      <c r="AB79" s="11"/>
      <c r="AC79" s="49">
        <v>782</v>
      </c>
      <c r="AD79" s="11"/>
      <c r="AE79" s="49">
        <v>0.659</v>
      </c>
      <c r="AF79" s="11"/>
      <c r="AG79" s="11"/>
      <c r="AH79" s="49">
        <v>0.099</v>
      </c>
      <c r="AI79" s="11"/>
      <c r="AJ79" s="11"/>
    </row>
    <row r="80" ht="15" customHeight="1">
      <c r="A80" s="45"/>
      <c r="B80" s="37">
        <v>11503</v>
      </c>
      <c r="C80" s="57">
        <v>39430</v>
      </c>
      <c r="D80" s="39">
        <v>3517</v>
      </c>
      <c r="E80" s="37">
        <v>12.7</v>
      </c>
      <c r="F80" s="39">
        <v>230.9</v>
      </c>
      <c r="G80" s="39">
        <v>176</v>
      </c>
      <c r="H80" s="39">
        <v>82.5790636782573</v>
      </c>
      <c r="I80" s="39"/>
      <c r="J80" s="74">
        <v>170</v>
      </c>
      <c r="K80" s="39">
        <v>80.0199032258067</v>
      </c>
      <c r="L80" s="39">
        <v>52</v>
      </c>
      <c r="M80" s="39">
        <v>32.8549618768328</v>
      </c>
      <c r="N80" s="39">
        <v>32.8</v>
      </c>
      <c r="O80" s="39">
        <v>101.39</v>
      </c>
      <c r="P80" s="39">
        <v>454.439518223712</v>
      </c>
      <c r="Q80" s="39">
        <v>44.4183307498952</v>
      </c>
      <c r="R80" s="40">
        <v>2.50889761206535</v>
      </c>
      <c r="S80" s="39">
        <v>4535.157287705970</v>
      </c>
      <c r="T80" s="39">
        <v>77</v>
      </c>
      <c r="U80" s="39">
        <v>3</v>
      </c>
      <c r="V80" s="39">
        <v>39.5</v>
      </c>
      <c r="W80" t="s" s="47">
        <v>44</v>
      </c>
      <c r="X80" t="s" s="47">
        <v>44</v>
      </c>
      <c r="Y80" t="s" s="47">
        <v>44</v>
      </c>
      <c r="Z80" s="41"/>
      <c r="AA80" s="42" cm="1">
        <f t="array" ref="AA80">Z80/1.01325</f>
        <v>0</v>
      </c>
      <c r="AB80" s="11"/>
      <c r="AC80" s="49">
        <v>782</v>
      </c>
      <c r="AD80" s="11"/>
      <c r="AE80" s="49">
        <v>0.659</v>
      </c>
      <c r="AF80" s="11"/>
      <c r="AG80" s="11"/>
      <c r="AH80" s="49">
        <v>0.076</v>
      </c>
      <c r="AI80" s="11"/>
      <c r="AJ80" s="11"/>
    </row>
    <row r="81" ht="15" customHeight="1">
      <c r="A81" s="36">
        <v>7</v>
      </c>
      <c r="B81" s="37">
        <v>11503</v>
      </c>
      <c r="C81" s="57">
        <v>39677</v>
      </c>
      <c r="D81" s="39">
        <v>3517</v>
      </c>
      <c r="E81" s="37">
        <v>7.94</v>
      </c>
      <c r="F81" s="39">
        <v>412.8</v>
      </c>
      <c r="G81" s="39">
        <v>320.345454545455</v>
      </c>
      <c r="H81" s="39">
        <v>108.761560338201</v>
      </c>
      <c r="I81" s="39">
        <v>412.7</v>
      </c>
      <c r="J81" s="39">
        <v>317.2</v>
      </c>
      <c r="K81" s="39">
        <v>105.874516129032</v>
      </c>
      <c r="L81" s="39">
        <v>48</v>
      </c>
      <c r="M81" s="39">
        <v>20.6048401229824</v>
      </c>
      <c r="N81" s="39">
        <v>20</v>
      </c>
      <c r="O81" s="39">
        <v>110.37</v>
      </c>
      <c r="P81" s="39">
        <v>323.366564181399</v>
      </c>
      <c r="Q81" s="39">
        <v>49.4916026133743</v>
      </c>
      <c r="R81" s="40">
        <v>0.307524588777863</v>
      </c>
      <c r="S81" s="39">
        <v>2207.196368124120</v>
      </c>
      <c r="T81" s="39">
        <v>91.40000000000001</v>
      </c>
      <c r="U81" s="39">
        <v>0.4</v>
      </c>
      <c r="V81" s="39">
        <v>39.52</v>
      </c>
      <c r="W81" s="39">
        <v>44.87</v>
      </c>
      <c r="X81" s="39">
        <v>53.7</v>
      </c>
      <c r="Y81" s="39">
        <v>53.2</v>
      </c>
      <c r="Z81" s="41">
        <v>92</v>
      </c>
      <c r="AA81" s="42" cm="1">
        <f t="array" ref="AA81">Z81/1.01325</f>
        <v>90.7969405378732</v>
      </c>
      <c r="AB81" s="11"/>
      <c r="AC81" s="49">
        <v>788</v>
      </c>
      <c r="AD81" s="11"/>
      <c r="AE81" s="49">
        <v>0.659</v>
      </c>
      <c r="AF81" s="11"/>
      <c r="AG81" s="11"/>
      <c r="AH81" s="49">
        <v>0.121</v>
      </c>
      <c r="AI81" s="11"/>
      <c r="AJ81" s="11"/>
    </row>
    <row r="82" ht="12.75" customHeight="1">
      <c r="A82" s="44"/>
      <c r="B82" s="37">
        <v>11503</v>
      </c>
      <c r="C82" s="57">
        <v>39680</v>
      </c>
      <c r="D82" s="39">
        <v>3517</v>
      </c>
      <c r="E82" s="39">
        <v>9.529999999999999</v>
      </c>
      <c r="F82" s="39">
        <v>365</v>
      </c>
      <c r="G82" s="39">
        <v>277.454545454545</v>
      </c>
      <c r="H82" s="39">
        <v>100.771282051282</v>
      </c>
      <c r="I82" s="39">
        <v>364.9</v>
      </c>
      <c r="J82" s="39">
        <v>269</v>
      </c>
      <c r="K82" s="39">
        <v>97.62864516129029</v>
      </c>
      <c r="L82" s="39">
        <v>55</v>
      </c>
      <c r="M82" s="39">
        <v>27.4809511217949</v>
      </c>
      <c r="N82" s="39">
        <v>27.2</v>
      </c>
      <c r="O82" s="39">
        <v>110.19</v>
      </c>
      <c r="P82" s="39">
        <v>399.363365384615</v>
      </c>
      <c r="Q82" s="39">
        <v>57.8676650641026</v>
      </c>
      <c r="R82" s="40">
        <v>0.26643766025641</v>
      </c>
      <c r="S82" s="39">
        <v>3138.405635359120</v>
      </c>
      <c r="T82" s="39">
        <v>90</v>
      </c>
      <c r="U82" s="39">
        <v>0.3</v>
      </c>
      <c r="V82" s="39">
        <v>39.52</v>
      </c>
      <c r="W82" s="39">
        <v>44.87</v>
      </c>
      <c r="X82" s="39">
        <v>53.7</v>
      </c>
      <c r="Y82" s="39">
        <v>53.2</v>
      </c>
      <c r="Z82" s="41">
        <v>90.40000000000001</v>
      </c>
      <c r="AA82" s="42" cm="1">
        <f t="array" ref="AA82">Z82/1.01325</f>
        <v>89.2178633111276</v>
      </c>
      <c r="AB82" s="11"/>
      <c r="AC82" s="49">
        <v>788</v>
      </c>
      <c r="AD82" s="11"/>
      <c r="AE82" s="49">
        <v>0.659</v>
      </c>
      <c r="AF82" s="11"/>
      <c r="AG82" s="11"/>
      <c r="AH82" s="49">
        <v>0.114</v>
      </c>
      <c r="AI82" s="11"/>
      <c r="AJ82" s="11"/>
    </row>
    <row r="83" ht="12.75" customHeight="1">
      <c r="A83" s="44"/>
      <c r="B83" s="37">
        <v>11503</v>
      </c>
      <c r="C83" s="57">
        <v>39682</v>
      </c>
      <c r="D83" s="39">
        <v>3517</v>
      </c>
      <c r="E83" s="39">
        <v>11.11</v>
      </c>
      <c r="F83" s="39">
        <v>319.3</v>
      </c>
      <c r="G83" s="39">
        <v>236.72</v>
      </c>
      <c r="H83" s="39">
        <v>98.4175517711173</v>
      </c>
      <c r="I83" s="39">
        <v>319.3</v>
      </c>
      <c r="J83" s="39">
        <v>231</v>
      </c>
      <c r="K83" s="39">
        <v>98.5772903225805</v>
      </c>
      <c r="L83" s="39">
        <v>59</v>
      </c>
      <c r="M83" s="39">
        <v>34.629711852861</v>
      </c>
      <c r="N83" s="39">
        <v>34.4</v>
      </c>
      <c r="O83" s="39">
        <v>109.79</v>
      </c>
      <c r="P83" s="39">
        <v>447.041430517711</v>
      </c>
      <c r="Q83" s="39">
        <v>63.4188841961852</v>
      </c>
      <c r="R83" s="40">
        <v>0.381620565395095</v>
      </c>
      <c r="S83" s="39">
        <v>3819.373808683380</v>
      </c>
      <c r="T83" s="39">
        <v>99.40000000000001</v>
      </c>
      <c r="U83" s="39">
        <v>0.4</v>
      </c>
      <c r="V83" s="39">
        <v>39.52</v>
      </c>
      <c r="W83" s="39">
        <v>44.87</v>
      </c>
      <c r="X83" s="39">
        <v>53.7</v>
      </c>
      <c r="Y83" s="39">
        <v>53.2</v>
      </c>
      <c r="Z83" s="41">
        <v>88.8</v>
      </c>
      <c r="AA83" s="42" cm="1">
        <f t="array" ref="AA83">Z83/1.01325</f>
        <v>87.63878608438191</v>
      </c>
      <c r="AB83" s="11"/>
      <c r="AC83" s="49">
        <v>788</v>
      </c>
      <c r="AD83" s="11"/>
      <c r="AE83" s="49">
        <v>0.659</v>
      </c>
      <c r="AF83" s="11"/>
      <c r="AG83" s="11"/>
      <c r="AH83" s="49">
        <v>0.112</v>
      </c>
      <c r="AI83" s="11"/>
      <c r="AJ83" s="11"/>
    </row>
    <row r="84" ht="12.75" customHeight="1">
      <c r="A84" s="44"/>
      <c r="B84" s="37">
        <v>11503</v>
      </c>
      <c r="C84" s="57">
        <v>39684</v>
      </c>
      <c r="D84" s="39">
        <v>3517</v>
      </c>
      <c r="E84" s="37">
        <v>12.7</v>
      </c>
      <c r="F84" s="39">
        <v>276.4</v>
      </c>
      <c r="G84" s="39">
        <v>197.113043478261</v>
      </c>
      <c r="H84" s="39">
        <v>98.9807403697998</v>
      </c>
      <c r="I84" s="39">
        <v>276.4</v>
      </c>
      <c r="J84" s="39">
        <v>194</v>
      </c>
      <c r="K84" s="39">
        <v>99.52696774193549</v>
      </c>
      <c r="L84" s="39">
        <v>60</v>
      </c>
      <c r="M84" s="39">
        <v>40.9937881355931</v>
      </c>
      <c r="N84" s="39">
        <v>40.8</v>
      </c>
      <c r="O84" s="39">
        <v>109.11</v>
      </c>
      <c r="P84" s="39">
        <v>487.170315870570</v>
      </c>
      <c r="Q84" s="39">
        <v>65.43415716486911</v>
      </c>
      <c r="R84" s="40">
        <v>0.576980146379045</v>
      </c>
      <c r="S84" s="39">
        <v>4319.092181947410</v>
      </c>
      <c r="T84" s="39">
        <v>98.5</v>
      </c>
      <c r="U84" s="39">
        <v>0.6</v>
      </c>
      <c r="V84" s="39">
        <v>39.52</v>
      </c>
      <c r="W84" s="39">
        <v>44.87</v>
      </c>
      <c r="X84" s="39">
        <v>53.7</v>
      </c>
      <c r="Y84" s="39">
        <v>53.2</v>
      </c>
      <c r="Z84" s="41">
        <v>88.90000000000001</v>
      </c>
      <c r="AA84" s="42" cm="1">
        <f t="array" ref="AA84">Z84/1.01325</f>
        <v>87.7374784110535</v>
      </c>
      <c r="AB84" s="11"/>
      <c r="AC84" s="49">
        <v>788</v>
      </c>
      <c r="AD84" s="11"/>
      <c r="AE84" s="49">
        <v>0.659</v>
      </c>
      <c r="AF84" s="11"/>
      <c r="AG84" s="11"/>
      <c r="AH84" s="49">
        <v>0.106</v>
      </c>
      <c r="AI84" s="11"/>
      <c r="AJ84" s="11"/>
    </row>
    <row r="85" ht="12.75" customHeight="1">
      <c r="A85" s="44"/>
      <c r="B85" s="37">
        <v>11503</v>
      </c>
      <c r="C85" s="57">
        <v>39686</v>
      </c>
      <c r="D85" s="39">
        <v>3517</v>
      </c>
      <c r="E85" s="37">
        <v>14.29</v>
      </c>
      <c r="F85" s="39">
        <v>242.8</v>
      </c>
      <c r="G85" s="39">
        <v>168.56</v>
      </c>
      <c r="H85" s="39">
        <v>99.41041666666661</v>
      </c>
      <c r="I85" s="39">
        <v>242.8</v>
      </c>
      <c r="J85" s="39">
        <v>165</v>
      </c>
      <c r="K85" s="39">
        <v>98.9903225806452</v>
      </c>
      <c r="L85" s="39">
        <v>59</v>
      </c>
      <c r="M85" s="39">
        <v>45.3919331955923</v>
      </c>
      <c r="N85" s="39">
        <v>45.4</v>
      </c>
      <c r="O85" s="39">
        <v>108.32</v>
      </c>
      <c r="P85" s="39">
        <v>500.478305785124</v>
      </c>
      <c r="Q85" s="39">
        <v>58.7529545454545</v>
      </c>
      <c r="R85" s="40">
        <v>0.5921325</v>
      </c>
      <c r="S85" s="39">
        <v>4526.188637168130</v>
      </c>
      <c r="T85" s="39">
        <v>88.90000000000001</v>
      </c>
      <c r="U85" s="39">
        <v>0.6</v>
      </c>
      <c r="V85" s="39">
        <v>39.52</v>
      </c>
      <c r="W85" s="39">
        <v>44.87</v>
      </c>
      <c r="X85" s="39">
        <v>53.7</v>
      </c>
      <c r="Y85" s="39">
        <v>53.2</v>
      </c>
      <c r="Z85" s="41">
        <v>89.40000000000001</v>
      </c>
      <c r="AA85" s="42" cm="1">
        <f t="array" ref="AA85">Z85/1.01325</f>
        <v>88.2309400444115</v>
      </c>
      <c r="AB85" s="11"/>
      <c r="AC85" s="49">
        <v>788</v>
      </c>
      <c r="AD85" s="11"/>
      <c r="AE85" s="49">
        <v>0.659</v>
      </c>
      <c r="AF85" s="11"/>
      <c r="AG85" s="11"/>
      <c r="AH85" s="49">
        <v>0.093</v>
      </c>
      <c r="AI85" s="11"/>
      <c r="AJ85" s="11"/>
    </row>
    <row r="86" ht="12.75" customHeight="1">
      <c r="A86" s="45"/>
      <c r="B86" s="37">
        <v>11503</v>
      </c>
      <c r="C86" s="57">
        <v>39688</v>
      </c>
      <c r="D86" s="39">
        <v>3517</v>
      </c>
      <c r="E86" s="37">
        <v>15.87</v>
      </c>
      <c r="F86" s="39">
        <v>223.8</v>
      </c>
      <c r="G86" s="39">
        <v>150.333333333333</v>
      </c>
      <c r="H86" s="39">
        <v>98.8802193308551</v>
      </c>
      <c r="I86" s="39">
        <v>223.8</v>
      </c>
      <c r="J86" s="39">
        <v>148</v>
      </c>
      <c r="K86" s="39">
        <v>98.9994347826087</v>
      </c>
      <c r="L86" s="39">
        <v>58</v>
      </c>
      <c r="M86" s="39">
        <v>47.1860749690211</v>
      </c>
      <c r="N86" s="39">
        <v>47</v>
      </c>
      <c r="O86" s="39">
        <v>107.76</v>
      </c>
      <c r="P86" s="39">
        <v>482.518091697646</v>
      </c>
      <c r="Q86" s="39">
        <v>52.2180700123916</v>
      </c>
      <c r="R86" s="40">
        <v>0.521821251548947</v>
      </c>
      <c r="S86" s="39">
        <v>4411.235262401150</v>
      </c>
      <c r="T86" s="39">
        <v>76.40000000000001</v>
      </c>
      <c r="U86" s="39">
        <v>0.5</v>
      </c>
      <c r="V86" s="39">
        <v>39.52</v>
      </c>
      <c r="W86" s="39">
        <v>44.87</v>
      </c>
      <c r="X86" s="39">
        <v>53.7</v>
      </c>
      <c r="Y86" s="39">
        <v>53.2</v>
      </c>
      <c r="Z86" s="41">
        <v>89.2</v>
      </c>
      <c r="AA86" s="42" cm="1">
        <f t="array" ref="AA86">Z86/1.01325</f>
        <v>88.0335553910683</v>
      </c>
      <c r="AB86" s="11"/>
      <c r="AC86" s="49">
        <v>788</v>
      </c>
      <c r="AD86" s="11"/>
      <c r="AE86" s="49">
        <v>0.659</v>
      </c>
      <c r="AF86" s="11"/>
      <c r="AG86" s="11"/>
      <c r="AH86" s="49">
        <v>0.08500000000000001</v>
      </c>
      <c r="AI86" s="11"/>
      <c r="AJ86" s="11"/>
    </row>
    <row r="87" ht="15" customHeight="1">
      <c r="A87" s="72">
        <v>12</v>
      </c>
      <c r="B87" s="37">
        <v>11503</v>
      </c>
      <c r="C87" s="57">
        <v>40729</v>
      </c>
      <c r="D87" s="39">
        <v>3517</v>
      </c>
      <c r="E87" s="39">
        <v>9.529999999999999</v>
      </c>
      <c r="F87" t="s" s="47">
        <v>44</v>
      </c>
      <c r="G87" s="39">
        <v>130.04</v>
      </c>
      <c r="H87" s="39">
        <v>99.0181082581541</v>
      </c>
      <c r="I87" t="s" s="47">
        <v>44</v>
      </c>
      <c r="J87" s="75">
        <v>130</v>
      </c>
      <c r="K87" s="39">
        <v>98.417</v>
      </c>
      <c r="L87" s="39">
        <v>38</v>
      </c>
      <c r="M87" s="39">
        <v>29.6992734212353</v>
      </c>
      <c r="N87" t="s" s="47">
        <v>44</v>
      </c>
      <c r="O87" t="s" s="47">
        <v>44</v>
      </c>
      <c r="P87" s="39">
        <v>152.257593337960</v>
      </c>
      <c r="Q87" s="39">
        <v>21.8838039555864</v>
      </c>
      <c r="R87" s="39">
        <v>0.167559289382373</v>
      </c>
      <c r="S87" s="39">
        <v>1240.671052631580</v>
      </c>
      <c r="T87" s="39">
        <v>34</v>
      </c>
      <c r="U87" s="39">
        <v>0.2</v>
      </c>
      <c r="V87" s="39">
        <v>39.5</v>
      </c>
      <c r="W87" t="s" s="47">
        <v>44</v>
      </c>
      <c r="X87" t="s" s="47">
        <v>44</v>
      </c>
      <c r="Y87" t="s" s="47">
        <v>44</v>
      </c>
      <c r="Z87" s="41">
        <v>91.59999999999999</v>
      </c>
      <c r="AA87" s="42" cm="1">
        <f t="array" ref="AA87">Z87/1.01325</f>
        <v>90.4021712311868</v>
      </c>
      <c r="AB87" s="11"/>
      <c r="AC87" s="49">
        <v>775.8</v>
      </c>
      <c r="AD87" s="11"/>
      <c r="AE87" s="49">
        <v>0.65</v>
      </c>
      <c r="AF87" s="11"/>
      <c r="AG87" s="11"/>
      <c r="AH87" s="49">
        <v>0.112</v>
      </c>
      <c r="AI87" s="11"/>
      <c r="AJ87" s="11"/>
    </row>
    <row r="88" ht="12.75" customHeight="1">
      <c r="A88" s="73"/>
      <c r="B88" s="37">
        <v>11503</v>
      </c>
      <c r="C88" s="57">
        <v>40732</v>
      </c>
      <c r="D88" s="39">
        <v>3517</v>
      </c>
      <c r="E88" s="39">
        <v>9.529999999999999</v>
      </c>
      <c r="F88" t="s" s="47">
        <v>44</v>
      </c>
      <c r="G88" s="39">
        <v>129</v>
      </c>
      <c r="H88" s="39">
        <v>99.6723657182512</v>
      </c>
      <c r="I88" t="s" s="47">
        <v>44</v>
      </c>
      <c r="J88" s="75">
        <v>129</v>
      </c>
      <c r="K88" s="39">
        <v>96.607</v>
      </c>
      <c r="L88" s="39">
        <v>35</v>
      </c>
      <c r="M88" s="39">
        <v>28.7799729354615</v>
      </c>
      <c r="N88" t="s" s="47">
        <v>44</v>
      </c>
      <c r="O88" t="s" s="47">
        <v>44</v>
      </c>
      <c r="P88" s="39">
        <v>152.563310201249</v>
      </c>
      <c r="Q88" s="39">
        <v>19.7707834836919</v>
      </c>
      <c r="R88" s="39">
        <v>0.151667106176267</v>
      </c>
      <c r="S88" s="39">
        <v>1224.918888888890</v>
      </c>
      <c r="T88" s="39">
        <v>30</v>
      </c>
      <c r="U88" s="39">
        <v>0.2</v>
      </c>
      <c r="V88" s="39">
        <v>39.5</v>
      </c>
      <c r="W88" t="s" s="47">
        <v>44</v>
      </c>
      <c r="X88" t="s" s="47">
        <v>44</v>
      </c>
      <c r="Y88" t="s" s="47">
        <v>44</v>
      </c>
      <c r="Z88" s="41">
        <v>92.90000000000001</v>
      </c>
      <c r="AA88" s="42" cm="1">
        <f t="array" ref="AA88">Z88/1.01325</f>
        <v>91.68517147791761</v>
      </c>
      <c r="AB88" s="11"/>
      <c r="AC88" s="49">
        <v>775.8</v>
      </c>
      <c r="AD88" s="11"/>
      <c r="AE88" s="49">
        <v>0.65</v>
      </c>
      <c r="AF88" s="11"/>
      <c r="AG88" s="11"/>
      <c r="AH88" s="49">
        <v>0.101</v>
      </c>
      <c r="AI88" s="11"/>
      <c r="AJ88" s="11"/>
    </row>
    <row r="89" ht="15" customHeight="1">
      <c r="A89" s="36">
        <v>8</v>
      </c>
      <c r="B89" s="37">
        <v>11504</v>
      </c>
      <c r="C89" s="57">
        <v>39695</v>
      </c>
      <c r="D89" s="39">
        <v>4010</v>
      </c>
      <c r="E89" s="37">
        <v>7.94</v>
      </c>
      <c r="F89" s="39">
        <v>465.7</v>
      </c>
      <c r="G89" s="39">
        <v>363.181818181818</v>
      </c>
      <c r="H89" s="39">
        <v>109.140401284109</v>
      </c>
      <c r="I89" s="39">
        <v>465.7</v>
      </c>
      <c r="J89" s="39">
        <v>362</v>
      </c>
      <c r="K89" s="39">
        <v>102.354516129032</v>
      </c>
      <c r="L89" s="39">
        <v>43.8</v>
      </c>
      <c r="M89" s="39">
        <v>19.1093146067416</v>
      </c>
      <c r="N89" s="39">
        <v>19.5</v>
      </c>
      <c r="O89" s="39">
        <v>110.6</v>
      </c>
      <c r="P89" s="39">
        <v>360.579245585875</v>
      </c>
      <c r="Q89" s="39">
        <v>66.79043980738361</v>
      </c>
      <c r="R89" s="40">
        <v>0.217509470304976</v>
      </c>
      <c r="S89" s="39">
        <v>2305.103444676410</v>
      </c>
      <c r="T89" s="39">
        <v>113.2</v>
      </c>
      <c r="U89" s="39">
        <v>0.2</v>
      </c>
      <c r="V89" s="39">
        <v>41.38845</v>
      </c>
      <c r="W89" s="39">
        <v>47.52</v>
      </c>
      <c r="X89" s="39">
        <v>58.1</v>
      </c>
      <c r="Y89" t="s" s="47">
        <v>44</v>
      </c>
      <c r="Z89" s="41">
        <v>91.59999999999999</v>
      </c>
      <c r="AA89" s="42" cm="1">
        <f t="array" ref="AA89">Z89/1.01325</f>
        <v>90.4021712311868</v>
      </c>
      <c r="AB89" s="11"/>
      <c r="AC89" s="49">
        <v>797</v>
      </c>
      <c r="AD89" s="11"/>
      <c r="AE89" s="49">
        <v>0.653</v>
      </c>
      <c r="AF89" s="11"/>
      <c r="AG89" s="11"/>
      <c r="AH89" s="49">
        <v>0.148</v>
      </c>
      <c r="AI89" s="11"/>
      <c r="AJ89" s="11"/>
    </row>
    <row r="90" ht="15" customHeight="1">
      <c r="A90" s="44"/>
      <c r="B90" s="37">
        <v>11504</v>
      </c>
      <c r="C90" s="57">
        <v>39697</v>
      </c>
      <c r="D90" s="39">
        <v>4010</v>
      </c>
      <c r="E90" s="39">
        <v>9.529999999999999</v>
      </c>
      <c r="F90" s="39">
        <v>419.7</v>
      </c>
      <c r="G90" s="39">
        <v>315</v>
      </c>
      <c r="H90" s="39">
        <v>101.549407114624</v>
      </c>
      <c r="I90" s="39">
        <v>419.7</v>
      </c>
      <c r="J90" s="39">
        <v>315</v>
      </c>
      <c r="K90" s="39">
        <v>102.236129032258</v>
      </c>
      <c r="L90" s="39">
        <v>55.4</v>
      </c>
      <c r="M90" s="39">
        <v>27.8648287220027</v>
      </c>
      <c r="N90" s="39">
        <v>27</v>
      </c>
      <c r="O90" s="39">
        <v>111</v>
      </c>
      <c r="P90" s="39">
        <v>446.831818181818</v>
      </c>
      <c r="Q90" s="39">
        <v>78.24242292490111</v>
      </c>
      <c r="R90" s="40">
        <v>0.370124479578393</v>
      </c>
      <c r="S90" s="39">
        <v>3470.285828412640</v>
      </c>
      <c r="T90" s="39">
        <v>128.5</v>
      </c>
      <c r="U90" s="39">
        <v>0.3</v>
      </c>
      <c r="V90" s="39">
        <v>41.38845</v>
      </c>
      <c r="W90" s="39">
        <v>47.52</v>
      </c>
      <c r="X90" s="39">
        <v>58.1</v>
      </c>
      <c r="Y90" t="s" s="47">
        <v>44</v>
      </c>
      <c r="Z90" s="41">
        <v>90.8</v>
      </c>
      <c r="AA90" s="42" cm="1">
        <f t="array" ref="AA90">Z90/1.01325</f>
        <v>89.612632617814</v>
      </c>
      <c r="AB90" s="11"/>
      <c r="AC90" s="49">
        <v>797</v>
      </c>
      <c r="AD90" s="11"/>
      <c r="AE90" s="49">
        <v>0.653</v>
      </c>
      <c r="AF90" s="11"/>
      <c r="AG90" s="11"/>
      <c r="AH90" s="49">
        <v>0.139</v>
      </c>
      <c r="AI90" s="11"/>
      <c r="AJ90" s="11"/>
    </row>
    <row r="91" ht="15" customHeight="1">
      <c r="A91" s="44"/>
      <c r="B91" s="37">
        <v>11504</v>
      </c>
      <c r="C91" s="57">
        <v>39699</v>
      </c>
      <c r="D91" s="39">
        <v>4010</v>
      </c>
      <c r="E91" s="39">
        <v>11.11</v>
      </c>
      <c r="F91" s="39">
        <v>377.2</v>
      </c>
      <c r="G91" s="39">
        <v>275</v>
      </c>
      <c r="H91" s="39">
        <v>107.050066666667</v>
      </c>
      <c r="I91" s="39">
        <v>377.2</v>
      </c>
      <c r="J91" s="39">
        <v>275</v>
      </c>
      <c r="K91" s="39">
        <v>96.91499999999991</v>
      </c>
      <c r="L91" s="39">
        <v>60.9</v>
      </c>
      <c r="M91" s="39">
        <v>36.3206326530612</v>
      </c>
      <c r="N91" s="39">
        <v>35.1</v>
      </c>
      <c r="O91" s="39">
        <v>110.9</v>
      </c>
      <c r="P91" s="39">
        <v>517.804503401361</v>
      </c>
      <c r="Q91" s="39">
        <v>89.5523823129251</v>
      </c>
      <c r="R91" s="40">
        <v>0.561753401360544</v>
      </c>
      <c r="S91" s="39">
        <v>4195.777825159920</v>
      </c>
      <c r="T91" s="39">
        <v>143.6</v>
      </c>
      <c r="U91" s="39">
        <v>0.6</v>
      </c>
      <c r="V91" s="39">
        <v>41.38845</v>
      </c>
      <c r="W91" s="39">
        <v>47.52</v>
      </c>
      <c r="X91" s="39">
        <v>58.1</v>
      </c>
      <c r="Y91" t="s" s="47">
        <v>44</v>
      </c>
      <c r="Z91" s="41">
        <v>88</v>
      </c>
      <c r="AA91" s="42" cm="1">
        <f t="array" ref="AA91">Z91/1.01325</f>
        <v>86.84924747100909</v>
      </c>
      <c r="AB91" s="11"/>
      <c r="AC91" s="49">
        <v>797</v>
      </c>
      <c r="AD91" s="11"/>
      <c r="AE91" s="49">
        <v>0.653</v>
      </c>
      <c r="AF91" s="11"/>
      <c r="AG91" s="11"/>
      <c r="AH91" s="49">
        <v>0.138</v>
      </c>
      <c r="AI91" s="11"/>
      <c r="AJ91" s="11"/>
    </row>
    <row r="92" ht="15" customHeight="1">
      <c r="A92" s="44"/>
      <c r="B92" s="37">
        <v>11504</v>
      </c>
      <c r="C92" s="57">
        <v>39701</v>
      </c>
      <c r="D92" s="39">
        <v>4010</v>
      </c>
      <c r="E92" s="39">
        <v>12.7</v>
      </c>
      <c r="F92" s="39">
        <v>335.8</v>
      </c>
      <c r="G92" s="39">
        <v>234</v>
      </c>
      <c r="H92" s="39">
        <v>107.212789473684</v>
      </c>
      <c r="I92" s="39">
        <v>335.8</v>
      </c>
      <c r="J92" s="39">
        <v>234</v>
      </c>
      <c r="K92" s="39">
        <v>107.019032258064</v>
      </c>
      <c r="L92" s="39">
        <v>63.5</v>
      </c>
      <c r="M92" s="39">
        <v>41.6295368421053</v>
      </c>
      <c r="N92" s="39">
        <v>42</v>
      </c>
      <c r="O92" s="39">
        <v>110.7</v>
      </c>
      <c r="P92" s="39">
        <v>583.166315789474</v>
      </c>
      <c r="Q92" s="39">
        <v>87.3527552631578</v>
      </c>
      <c r="R92" s="40">
        <v>0.9522572368421049</v>
      </c>
      <c r="S92" s="39">
        <v>4725.689643775250</v>
      </c>
      <c r="T92" s="39">
        <v>152.8</v>
      </c>
      <c r="U92" s="39">
        <v>1.1</v>
      </c>
      <c r="V92" s="39">
        <v>41.38845</v>
      </c>
      <c r="W92" s="39">
        <v>47.52</v>
      </c>
      <c r="X92" s="39">
        <v>58.1</v>
      </c>
      <c r="Y92" t="s" s="47">
        <v>44</v>
      </c>
      <c r="Z92" s="41">
        <v>88.5</v>
      </c>
      <c r="AA92" s="42" cm="1">
        <f t="array" ref="AA92">Z92/1.01325</f>
        <v>87.3427091043671</v>
      </c>
      <c r="AB92" s="11"/>
      <c r="AC92" s="49">
        <v>797</v>
      </c>
      <c r="AD92" s="11"/>
      <c r="AE92" s="49">
        <v>0.653</v>
      </c>
      <c r="AF92" s="11"/>
      <c r="AG92" s="11"/>
      <c r="AH92" s="49">
        <v>0.119</v>
      </c>
      <c r="AI92" s="11"/>
      <c r="AJ92" s="11"/>
    </row>
    <row r="93" ht="15" customHeight="1">
      <c r="A93" s="44"/>
      <c r="B93" s="37">
        <v>11504</v>
      </c>
      <c r="C93" s="57">
        <v>39703</v>
      </c>
      <c r="D93" s="39">
        <v>4010</v>
      </c>
      <c r="E93" s="37">
        <v>14.29</v>
      </c>
      <c r="F93" s="39">
        <v>301.2</v>
      </c>
      <c r="G93" s="39">
        <v>200.9</v>
      </c>
      <c r="H93" s="39">
        <v>106.192146507666</v>
      </c>
      <c r="I93" s="39">
        <v>301.2</v>
      </c>
      <c r="J93" s="39">
        <v>198</v>
      </c>
      <c r="K93" s="39">
        <v>106.053870967742</v>
      </c>
      <c r="L93" s="39">
        <v>63.9</v>
      </c>
      <c r="M93" s="39">
        <v>45.9034804088586</v>
      </c>
      <c r="N93" s="39">
        <v>46</v>
      </c>
      <c r="O93" s="39">
        <v>110.4</v>
      </c>
      <c r="P93" s="39">
        <v>615.642265758092</v>
      </c>
      <c r="Q93" s="39">
        <v>87.6215741056217</v>
      </c>
      <c r="R93" s="40">
        <v>1.21853299829642</v>
      </c>
      <c r="S93" s="39">
        <v>5171.105635281750</v>
      </c>
      <c r="T93" s="39">
        <v>145.9</v>
      </c>
      <c r="U93" s="39">
        <v>1.3</v>
      </c>
      <c r="V93" s="39">
        <v>41.38845</v>
      </c>
      <c r="W93" s="39">
        <v>47.52</v>
      </c>
      <c r="X93" s="39">
        <v>58.1</v>
      </c>
      <c r="Y93" t="s" s="47">
        <v>44</v>
      </c>
      <c r="Z93" s="41">
        <v>88</v>
      </c>
      <c r="AA93" s="42" cm="1">
        <f t="array" ref="AA93">Z93/1.01325</f>
        <v>86.84924747100909</v>
      </c>
      <c r="AB93" s="11"/>
      <c r="AC93" s="49">
        <v>797</v>
      </c>
      <c r="AD93" s="11"/>
      <c r="AE93" s="49">
        <v>0.653</v>
      </c>
      <c r="AF93" s="11"/>
      <c r="AG93" s="11"/>
      <c r="AH93" s="49">
        <v>0.113</v>
      </c>
      <c r="AI93" s="11"/>
      <c r="AJ93" s="11"/>
    </row>
    <row r="94" ht="15.75" customHeight="1">
      <c r="A94" s="45"/>
      <c r="B94" s="37">
        <v>11504</v>
      </c>
      <c r="C94" s="57">
        <v>39705</v>
      </c>
      <c r="D94" s="39">
        <v>4010</v>
      </c>
      <c r="E94" s="37">
        <v>15.87</v>
      </c>
      <c r="F94" s="39">
        <v>277.8</v>
      </c>
      <c r="G94" s="39">
        <v>188.636363636364</v>
      </c>
      <c r="H94" s="39">
        <v>106.659703315881</v>
      </c>
      <c r="I94" s="39">
        <v>277.8</v>
      </c>
      <c r="J94" s="39">
        <v>186</v>
      </c>
      <c r="K94" s="39">
        <v>106.836190476190</v>
      </c>
      <c r="L94" s="39">
        <v>63</v>
      </c>
      <c r="M94" s="39">
        <v>48.6413507853403</v>
      </c>
      <c r="N94" s="39">
        <v>47.9</v>
      </c>
      <c r="O94" s="39">
        <v>110.2</v>
      </c>
      <c r="P94" s="39">
        <v>610.421762652705</v>
      </c>
      <c r="Q94" s="39">
        <v>85.7256579406631</v>
      </c>
      <c r="R94" s="40">
        <v>1.58786038394415</v>
      </c>
      <c r="S94" s="39">
        <v>5200.2237008427</v>
      </c>
      <c r="T94" s="39">
        <v>133.7</v>
      </c>
      <c r="U94" s="39">
        <v>1.6</v>
      </c>
      <c r="V94" s="39">
        <v>41.38845</v>
      </c>
      <c r="W94" s="39">
        <v>47.52</v>
      </c>
      <c r="X94" s="39">
        <v>58.1</v>
      </c>
      <c r="Y94" t="s" s="47">
        <v>44</v>
      </c>
      <c r="Z94" s="41">
        <v>88.2</v>
      </c>
      <c r="AA94" s="42" cm="1">
        <f t="array" ref="AA94">Z94/1.01325</f>
        <v>87.0466321243523</v>
      </c>
      <c r="AB94" s="11"/>
      <c r="AC94" s="49">
        <v>797</v>
      </c>
      <c r="AD94" s="11"/>
      <c r="AE94" s="49">
        <v>0.653</v>
      </c>
      <c r="AF94" s="11"/>
      <c r="AG94" s="11"/>
      <c r="AH94" s="49">
        <v>0.112</v>
      </c>
      <c r="AI94" s="11"/>
      <c r="AJ94" s="11"/>
    </row>
    <row r="95" ht="15" customHeight="1">
      <c r="A95" s="36">
        <v>9</v>
      </c>
      <c r="B95" s="37">
        <v>11504</v>
      </c>
      <c r="C95" s="57">
        <v>39734</v>
      </c>
      <c r="D95" s="39">
        <v>4010</v>
      </c>
      <c r="E95" s="37">
        <v>9.529999999999999</v>
      </c>
      <c r="F95" s="39">
        <v>377.7</v>
      </c>
      <c r="G95" s="39">
        <v>287.828571428571</v>
      </c>
      <c r="H95" s="39">
        <v>109.821991989516</v>
      </c>
      <c r="I95" s="39">
        <v>382.9</v>
      </c>
      <c r="J95" s="74">
        <v>278</v>
      </c>
      <c r="K95" s="74">
        <v>106.23862</v>
      </c>
      <c r="L95" s="39">
        <v>52.2</v>
      </c>
      <c r="M95" s="39">
        <v>27.7299686070894</v>
      </c>
      <c r="N95" s="39">
        <v>27.5</v>
      </c>
      <c r="O95" s="39">
        <v>110.77</v>
      </c>
      <c r="P95" s="39">
        <v>376.177056899191</v>
      </c>
      <c r="Q95" s="39">
        <v>114.552671772341</v>
      </c>
      <c r="R95" s="40">
        <v>0.487522496255617</v>
      </c>
      <c r="S95" s="39">
        <v>2762</v>
      </c>
      <c r="T95" s="39">
        <v>162.3</v>
      </c>
      <c r="U95" s="39">
        <v>0.5</v>
      </c>
      <c r="V95" s="39">
        <v>41.38845</v>
      </c>
      <c r="W95" s="39">
        <v>43.76</v>
      </c>
      <c r="X95" s="39">
        <v>53.759</v>
      </c>
      <c r="Y95" t="s" s="47">
        <v>44</v>
      </c>
      <c r="Z95" s="41">
        <v>88.59999999999999</v>
      </c>
      <c r="AA95" s="42" cm="1">
        <f t="array" ref="AA95">Z95/1.01325</f>
        <v>87.4414014310387</v>
      </c>
      <c r="AB95" s="11"/>
      <c r="AC95" s="11"/>
      <c r="AD95" s="11"/>
      <c r="AE95" s="11"/>
      <c r="AF95" s="11"/>
      <c r="AG95" s="11"/>
      <c r="AH95" s="11"/>
      <c r="AI95" s="11"/>
      <c r="AJ95" s="11"/>
    </row>
    <row r="96" ht="15" customHeight="1">
      <c r="A96" s="44"/>
      <c r="B96" s="37">
        <v>11504</v>
      </c>
      <c r="C96" s="57">
        <v>39737</v>
      </c>
      <c r="D96" s="39">
        <v>4010</v>
      </c>
      <c r="E96" s="39">
        <v>11.11</v>
      </c>
      <c r="F96" s="39">
        <v>334.4</v>
      </c>
      <c r="G96" s="39">
        <v>250.271428571429</v>
      </c>
      <c r="H96" s="39">
        <v>109.550570266635</v>
      </c>
      <c r="I96" s="39">
        <v>329.3</v>
      </c>
      <c r="J96" s="74">
        <v>240</v>
      </c>
      <c r="K96" s="74">
        <v>108.40336</v>
      </c>
      <c r="L96" s="39">
        <v>57.1</v>
      </c>
      <c r="M96" s="39">
        <v>35.2315427696373</v>
      </c>
      <c r="N96" s="39">
        <v>35</v>
      </c>
      <c r="O96" s="39">
        <v>110.63</v>
      </c>
      <c r="P96" s="39">
        <v>432.651391930029</v>
      </c>
      <c r="Q96" s="39">
        <v>133.544041815998</v>
      </c>
      <c r="R96" s="40">
        <v>0.942375421570981</v>
      </c>
      <c r="S96" s="39">
        <v>3430.741781522940</v>
      </c>
      <c r="T96" s="39">
        <v>187.9</v>
      </c>
      <c r="U96" s="39">
        <v>1</v>
      </c>
      <c r="V96" s="39">
        <v>41.38845</v>
      </c>
      <c r="W96" s="39">
        <v>43.76</v>
      </c>
      <c r="X96" s="39">
        <v>53.759</v>
      </c>
      <c r="Y96" t="s" s="47">
        <v>44</v>
      </c>
      <c r="Z96" s="41">
        <v>86.40000000000001</v>
      </c>
      <c r="AA96" s="42" cm="1">
        <f t="array" ref="AA96">Z96/1.01325</f>
        <v>85.2701702442635</v>
      </c>
      <c r="AB96" s="11"/>
      <c r="AC96" s="11"/>
      <c r="AD96" s="11"/>
      <c r="AE96" s="11"/>
      <c r="AF96" s="11"/>
      <c r="AG96" s="11"/>
      <c r="AH96" s="11"/>
      <c r="AI96" s="11"/>
      <c r="AJ96" s="11"/>
    </row>
    <row r="97" ht="15" customHeight="1">
      <c r="A97" s="44"/>
      <c r="B97" s="37">
        <v>11504</v>
      </c>
      <c r="C97" s="57">
        <v>39740</v>
      </c>
      <c r="D97" s="39">
        <v>4010</v>
      </c>
      <c r="E97" s="39">
        <v>12.7</v>
      </c>
      <c r="F97" s="39">
        <v>295</v>
      </c>
      <c r="G97" s="39">
        <v>211.577464788732</v>
      </c>
      <c r="H97" s="39">
        <v>112.809788449870</v>
      </c>
      <c r="I97" s="39">
        <v>290.4</v>
      </c>
      <c r="J97" s="74">
        <v>201</v>
      </c>
      <c r="K97" s="74">
        <v>108.1835</v>
      </c>
      <c r="L97" s="39">
        <v>60.1</v>
      </c>
      <c r="M97" s="39">
        <v>42.2658588125149</v>
      </c>
      <c r="N97" s="39">
        <v>42.3</v>
      </c>
      <c r="O97" s="39">
        <v>110.36</v>
      </c>
      <c r="P97" s="39">
        <v>457.327701419216</v>
      </c>
      <c r="Q97" s="39">
        <v>141.459976013273</v>
      </c>
      <c r="R97" s="40">
        <v>1.20384483526902</v>
      </c>
      <c r="S97" s="39">
        <v>3713.262270433760</v>
      </c>
      <c r="T97" s="39">
        <v>201</v>
      </c>
      <c r="U97" s="39">
        <v>1.2</v>
      </c>
      <c r="V97" s="39">
        <v>41.38845</v>
      </c>
      <c r="W97" s="39">
        <v>43.76</v>
      </c>
      <c r="X97" s="39">
        <v>53.759</v>
      </c>
      <c r="Y97" t="s" s="47">
        <v>44</v>
      </c>
      <c r="Z97" s="41">
        <v>89.90000000000001</v>
      </c>
      <c r="AA97" s="42" cm="1">
        <f t="array" ref="AA97">Z97/1.01325</f>
        <v>88.72440167776961</v>
      </c>
      <c r="AB97" s="11"/>
      <c r="AC97" s="11"/>
      <c r="AD97" s="11"/>
      <c r="AE97" s="11"/>
      <c r="AF97" s="11"/>
      <c r="AG97" s="11"/>
      <c r="AH97" s="11"/>
      <c r="AI97" s="11"/>
      <c r="AJ97" s="11"/>
    </row>
    <row r="98" ht="15" customHeight="1">
      <c r="A98" s="44"/>
      <c r="B98" s="37">
        <v>11504</v>
      </c>
      <c r="C98" s="57">
        <v>39743</v>
      </c>
      <c r="D98" s="39">
        <v>4010</v>
      </c>
      <c r="E98" s="37">
        <v>14.29</v>
      </c>
      <c r="F98" s="39">
        <v>259.3</v>
      </c>
      <c r="G98" s="39">
        <v>178.494845360825</v>
      </c>
      <c r="H98" s="39">
        <v>102.219782744647</v>
      </c>
      <c r="I98" s="39">
        <v>281.5</v>
      </c>
      <c r="J98" s="74">
        <v>168</v>
      </c>
      <c r="K98" s="74">
        <v>99.06507000000001</v>
      </c>
      <c r="L98" s="39">
        <v>60.4</v>
      </c>
      <c r="M98" s="39">
        <v>44.7429695045124</v>
      </c>
      <c r="N98" s="39">
        <v>44.6</v>
      </c>
      <c r="O98" s="39">
        <v>109.97</v>
      </c>
      <c r="P98" s="39">
        <v>458.653374288291</v>
      </c>
      <c r="Q98" s="39">
        <v>151.616928713501</v>
      </c>
      <c r="R98" s="40">
        <v>1.87321592638471</v>
      </c>
      <c r="S98" s="39">
        <v>4365.051494418670</v>
      </c>
      <c r="T98" s="39">
        <v>208</v>
      </c>
      <c r="U98" s="39">
        <v>2</v>
      </c>
      <c r="V98" s="39">
        <v>41.38845</v>
      </c>
      <c r="W98" s="39">
        <v>43.76</v>
      </c>
      <c r="X98" s="39">
        <v>53.759</v>
      </c>
      <c r="Y98" t="s" s="47">
        <v>44</v>
      </c>
      <c r="Z98" s="41">
        <v>83</v>
      </c>
      <c r="AA98" s="42" cm="1">
        <f t="array" ref="AA98">Z98/1.01325</f>
        <v>81.9146311374291</v>
      </c>
      <c r="AB98" s="11"/>
      <c r="AC98" s="11"/>
      <c r="AD98" s="11"/>
      <c r="AE98" s="11"/>
      <c r="AF98" s="11"/>
      <c r="AG98" s="11"/>
      <c r="AH98" s="11"/>
      <c r="AI98" s="11"/>
      <c r="AJ98" s="11"/>
    </row>
    <row r="99" ht="12.75" customHeight="1">
      <c r="A99" s="45"/>
      <c r="B99" s="37">
        <v>11504</v>
      </c>
      <c r="C99" s="57">
        <v>39747</v>
      </c>
      <c r="D99" s="39">
        <v>4010</v>
      </c>
      <c r="E99" s="37">
        <v>7.94</v>
      </c>
      <c r="F99" s="39">
        <v>301.5</v>
      </c>
      <c r="G99" s="39">
        <v>218</v>
      </c>
      <c r="H99" s="39">
        <v>100.868875791246</v>
      </c>
      <c r="I99" s="39">
        <v>312.8</v>
      </c>
      <c r="J99" s="74">
        <v>218</v>
      </c>
      <c r="K99" s="39">
        <v>102.3</v>
      </c>
      <c r="L99" s="39">
        <v>44.5</v>
      </c>
      <c r="M99" s="39">
        <v>21.0283224579125</v>
      </c>
      <c r="N99" s="39">
        <v>21.9</v>
      </c>
      <c r="O99" s="39">
        <v>109.95</v>
      </c>
      <c r="P99" s="39">
        <v>181.532642156768</v>
      </c>
      <c r="Q99" s="39">
        <v>55.1101858585859</v>
      </c>
      <c r="R99" s="40">
        <v>0.228776565656566</v>
      </c>
      <c r="S99" s="39">
        <v>1401.575836767680</v>
      </c>
      <c r="T99" s="39">
        <v>76</v>
      </c>
      <c r="U99" s="39">
        <v>0.2</v>
      </c>
      <c r="V99" s="39">
        <v>41.38845</v>
      </c>
      <c r="W99" s="39">
        <v>43.76</v>
      </c>
      <c r="X99" s="39">
        <v>53.759</v>
      </c>
      <c r="Y99" t="s" s="47">
        <v>44</v>
      </c>
      <c r="Z99" s="41">
        <v>85.5</v>
      </c>
      <c r="AA99" s="42" cm="1">
        <f t="array" ref="AA99">Z99/1.01325</f>
        <v>84.3819393042191</v>
      </c>
      <c r="AB99" s="11"/>
      <c r="AC99" s="11"/>
      <c r="AD99" s="11"/>
      <c r="AE99" s="11"/>
      <c r="AF99" s="11"/>
      <c r="AG99" s="11"/>
      <c r="AH99" s="11"/>
      <c r="AI99" s="11"/>
      <c r="AJ99" s="11"/>
    </row>
    <row r="100" ht="15" customHeight="1">
      <c r="A100" s="36">
        <v>6</v>
      </c>
      <c r="B100" s="37">
        <v>11504</v>
      </c>
      <c r="C100" s="57">
        <v>40019</v>
      </c>
      <c r="D100" s="39">
        <v>4013</v>
      </c>
      <c r="E100" s="40">
        <v>9.529999999999999</v>
      </c>
      <c r="F100" s="39">
        <v>220.3</v>
      </c>
      <c r="G100" s="39">
        <v>162</v>
      </c>
      <c r="H100" s="39">
        <v>96.0110087633888</v>
      </c>
      <c r="I100" s="39"/>
      <c r="J100" s="39">
        <v>162</v>
      </c>
      <c r="K100" s="39">
        <v>95.92932258064479</v>
      </c>
      <c r="L100" s="39">
        <v>46</v>
      </c>
      <c r="M100" s="39">
        <v>28.8587482960078</v>
      </c>
      <c r="N100" s="39">
        <v>28.8</v>
      </c>
      <c r="O100" s="39">
        <v>107.7</v>
      </c>
      <c r="P100" s="39">
        <v>229.297955209348</v>
      </c>
      <c r="Q100" s="39">
        <v>28.3593515092502</v>
      </c>
      <c r="R100" s="40">
        <v>1.69204917234664</v>
      </c>
      <c r="S100" s="39">
        <v>1902.134343434340</v>
      </c>
      <c r="T100" s="39">
        <v>46.1</v>
      </c>
      <c r="U100" s="39">
        <v>1.8</v>
      </c>
      <c r="V100" s="39">
        <v>41.38845</v>
      </c>
      <c r="W100" s="39">
        <v>30.39</v>
      </c>
      <c r="X100" s="76">
        <v>57.3</v>
      </c>
      <c r="Y100" s="39">
        <v>56.8</v>
      </c>
      <c r="Z100" s="41">
        <v>93.2</v>
      </c>
      <c r="AA100" s="42" cm="1">
        <f t="array" ref="AA100">Z100/1.01325</f>
        <v>91.9812484579324</v>
      </c>
      <c r="AB100" s="11"/>
      <c r="AC100" s="49">
        <v>777.6</v>
      </c>
      <c r="AD100" s="11"/>
      <c r="AE100" s="49">
        <v>0.653</v>
      </c>
      <c r="AF100" s="11"/>
      <c r="AG100" s="11"/>
      <c r="AH100" s="49">
        <v>0.096</v>
      </c>
      <c r="AI100" s="11"/>
      <c r="AJ100" s="11"/>
    </row>
    <row r="101" ht="15" customHeight="1">
      <c r="A101" s="44"/>
      <c r="B101" s="37">
        <v>11504</v>
      </c>
      <c r="C101" s="57">
        <v>40023</v>
      </c>
      <c r="D101" s="39">
        <v>4013</v>
      </c>
      <c r="E101" s="40">
        <v>11.11</v>
      </c>
      <c r="F101" s="39">
        <v>204.67</v>
      </c>
      <c r="G101" s="39">
        <v>147.125</v>
      </c>
      <c r="H101" s="39">
        <v>96.4045600676822</v>
      </c>
      <c r="I101" s="39"/>
      <c r="J101" s="39">
        <v>146</v>
      </c>
      <c r="K101" s="39">
        <v>96.7669999999998</v>
      </c>
      <c r="L101" s="39">
        <v>50</v>
      </c>
      <c r="M101" s="39">
        <v>36.5493781725889</v>
      </c>
      <c r="N101" s="39">
        <v>36</v>
      </c>
      <c r="O101" s="39">
        <v>107.6</v>
      </c>
      <c r="P101" s="39">
        <v>275.634094754653</v>
      </c>
      <c r="Q101" s="39">
        <v>28.1741408629442</v>
      </c>
      <c r="R101" s="40">
        <v>2.85034547377327</v>
      </c>
      <c r="S101" s="39">
        <v>2421.816658911120</v>
      </c>
      <c r="T101" s="39">
        <v>43.9</v>
      </c>
      <c r="U101" s="39">
        <v>2.9</v>
      </c>
      <c r="V101" s="39">
        <v>41.38845</v>
      </c>
      <c r="W101" s="39">
        <v>30.39</v>
      </c>
      <c r="X101" s="76">
        <v>57.3</v>
      </c>
      <c r="Y101" s="39">
        <v>56.8</v>
      </c>
      <c r="Z101" s="41">
        <v>93.90000000000001</v>
      </c>
      <c r="AA101" s="42" cm="1">
        <f t="array" ref="AA101">Z101/1.01325</f>
        <v>92.6720947446336</v>
      </c>
      <c r="AB101" s="11"/>
      <c r="AC101" s="49">
        <v>777.6</v>
      </c>
      <c r="AD101" s="11"/>
      <c r="AE101" s="49">
        <v>0.653</v>
      </c>
      <c r="AF101" s="11"/>
      <c r="AG101" s="11"/>
      <c r="AH101" s="49">
        <v>0.08</v>
      </c>
      <c r="AI101" s="11"/>
      <c r="AJ101" s="11"/>
    </row>
    <row r="102" ht="15" customHeight="1">
      <c r="A102" s="44"/>
      <c r="B102" s="37">
        <v>11504</v>
      </c>
      <c r="C102" s="57">
        <v>40027</v>
      </c>
      <c r="D102" s="39">
        <v>4013</v>
      </c>
      <c r="E102" s="40">
        <v>12.7</v>
      </c>
      <c r="F102" s="39">
        <v>191.76</v>
      </c>
      <c r="G102" s="39">
        <v>136.541666666667</v>
      </c>
      <c r="H102" s="39">
        <v>94.1784569025932</v>
      </c>
      <c r="I102" s="39"/>
      <c r="J102" s="39">
        <v>136</v>
      </c>
      <c r="K102" s="39">
        <v>93.430516129032</v>
      </c>
      <c r="L102" s="39">
        <v>51</v>
      </c>
      <c r="M102" s="39">
        <v>40.0877154870358</v>
      </c>
      <c r="N102" s="39">
        <v>40.1</v>
      </c>
      <c r="O102" s="39">
        <v>107.4</v>
      </c>
      <c r="P102" s="39">
        <v>295.135949544499</v>
      </c>
      <c r="Q102" s="39">
        <v>26.4728093903294</v>
      </c>
      <c r="R102" s="40">
        <v>3.96426874562018</v>
      </c>
      <c r="S102" s="39">
        <v>2689.305792132810</v>
      </c>
      <c r="T102" s="39">
        <v>41.4</v>
      </c>
      <c r="U102" s="39">
        <v>4.1</v>
      </c>
      <c r="V102" s="39">
        <v>41.38845</v>
      </c>
      <c r="W102" s="39">
        <v>30.39</v>
      </c>
      <c r="X102" s="76">
        <v>57.3</v>
      </c>
      <c r="Y102" s="39">
        <v>56.8</v>
      </c>
      <c r="Z102" s="41">
        <v>92.09999999999999</v>
      </c>
      <c r="AA102" s="42" cm="1">
        <f t="array" ref="AA102">Z102/1.01325</f>
        <v>90.89563286454479</v>
      </c>
      <c r="AB102" s="11"/>
      <c r="AC102" s="49">
        <v>777.6</v>
      </c>
      <c r="AD102" s="11"/>
      <c r="AE102" s="49">
        <v>0.653</v>
      </c>
      <c r="AF102" s="11"/>
      <c r="AG102" s="11"/>
      <c r="AH102" s="49">
        <v>0.07000000000000001</v>
      </c>
      <c r="AI102" s="11"/>
      <c r="AJ102" s="11"/>
    </row>
    <row r="103" ht="15.75" customHeight="1">
      <c r="A103" s="45"/>
      <c r="B103" s="37">
        <v>11504</v>
      </c>
      <c r="C103" s="57">
        <v>40031</v>
      </c>
      <c r="D103" s="39">
        <v>4013</v>
      </c>
      <c r="E103" s="40">
        <v>14.29</v>
      </c>
      <c r="F103" s="39">
        <v>168.13</v>
      </c>
      <c r="G103" s="39">
        <v>115.421052631579</v>
      </c>
      <c r="H103" s="39">
        <v>86.5429713261648</v>
      </c>
      <c r="I103" s="39"/>
      <c r="J103" s="39">
        <v>114</v>
      </c>
      <c r="K103" s="39">
        <v>84.190999999990</v>
      </c>
      <c r="L103" s="39">
        <v>52</v>
      </c>
      <c r="M103" s="39">
        <v>44.1071684587813</v>
      </c>
      <c r="N103" s="39">
        <v>44.5</v>
      </c>
      <c r="O103" s="39">
        <v>107.4</v>
      </c>
      <c r="P103" s="39">
        <v>316.155913978495</v>
      </c>
      <c r="Q103" s="39">
        <v>23.6103877240143</v>
      </c>
      <c r="R103" s="40">
        <v>4.32505008960573</v>
      </c>
      <c r="S103" s="39">
        <v>3228.598297368670</v>
      </c>
      <c r="T103" s="39">
        <v>37</v>
      </c>
      <c r="U103" s="39">
        <v>4.6</v>
      </c>
      <c r="V103" s="39">
        <v>41.38845</v>
      </c>
      <c r="W103" s="39">
        <v>30.39</v>
      </c>
      <c r="X103" s="76">
        <v>57.3</v>
      </c>
      <c r="Y103" s="39">
        <v>56.8</v>
      </c>
      <c r="Z103" s="41">
        <v>86</v>
      </c>
      <c r="AA103" s="42" cm="1">
        <f t="array" ref="AA103">Z103/1.01325</f>
        <v>84.8754009375771</v>
      </c>
      <c r="AB103" s="11"/>
      <c r="AC103" s="49">
        <v>777.6</v>
      </c>
      <c r="AD103" s="11"/>
      <c r="AE103" s="49">
        <v>0.653</v>
      </c>
      <c r="AF103" s="11"/>
      <c r="AG103" s="11"/>
      <c r="AH103" s="49">
        <v>0.058</v>
      </c>
      <c r="AI103" s="11"/>
      <c r="AJ103" s="11"/>
    </row>
    <row r="104" ht="15" customHeight="1">
      <c r="A104" s="46">
        <v>14</v>
      </c>
      <c r="B104" s="37">
        <v>11504</v>
      </c>
      <c r="C104" s="57">
        <v>40789</v>
      </c>
      <c r="D104" s="39">
        <v>4013.5</v>
      </c>
      <c r="E104" s="39">
        <v>11.11</v>
      </c>
      <c r="F104" s="39">
        <v>275.6</v>
      </c>
      <c r="G104" s="39">
        <v>126.5</v>
      </c>
      <c r="H104" s="39">
        <v>99.589198731501</v>
      </c>
      <c r="I104" s="39">
        <v>175</v>
      </c>
      <c r="J104" s="39">
        <v>126</v>
      </c>
      <c r="K104" s="39">
        <v>100.5</v>
      </c>
      <c r="L104" s="39">
        <v>41</v>
      </c>
      <c r="M104" s="39">
        <v>34.8462938689219</v>
      </c>
      <c r="N104" t="s" s="47">
        <v>44</v>
      </c>
      <c r="O104" s="39">
        <v>104.4</v>
      </c>
      <c r="P104" s="39">
        <v>189.000775193798</v>
      </c>
      <c r="Q104" s="39">
        <v>21.9924747709655</v>
      </c>
      <c r="R104" s="39">
        <v>0.412529534883721</v>
      </c>
      <c r="S104" s="39">
        <v>1589.947027027030</v>
      </c>
      <c r="T104" s="39">
        <v>33</v>
      </c>
      <c r="U104" s="39">
        <v>0.4</v>
      </c>
      <c r="V104" s="39">
        <v>41.4</v>
      </c>
      <c r="W104" t="s" s="47">
        <v>44</v>
      </c>
      <c r="X104" s="39">
        <v>49.4</v>
      </c>
      <c r="Y104" t="s" s="47">
        <v>44</v>
      </c>
      <c r="Z104" s="41">
        <v>95.90000000000001</v>
      </c>
      <c r="AA104" s="42" cm="1">
        <f t="array" ref="AA104">Z104/1.01325</f>
        <v>94.64594127806561</v>
      </c>
      <c r="AB104" s="11"/>
      <c r="AC104" s="49">
        <v>772.6</v>
      </c>
      <c r="AD104" s="11"/>
      <c r="AE104" s="49">
        <v>0.653</v>
      </c>
      <c r="AF104" s="11"/>
      <c r="AG104" s="11"/>
      <c r="AH104" s="49">
        <v>0.09</v>
      </c>
      <c r="AI104" s="11"/>
      <c r="AJ104" s="11"/>
    </row>
    <row r="105" ht="15" customHeight="1">
      <c r="A105" s="36">
        <v>10</v>
      </c>
      <c r="B105" s="37">
        <v>11703</v>
      </c>
      <c r="C105" s="57">
        <v>39518</v>
      </c>
      <c r="D105" s="39">
        <v>3507.3</v>
      </c>
      <c r="E105" s="37">
        <v>9.529999999999999</v>
      </c>
      <c r="F105" s="39">
        <v>300.7</v>
      </c>
      <c r="G105" s="39">
        <v>211</v>
      </c>
      <c r="H105" s="39">
        <v>93.40000000000001</v>
      </c>
      <c r="I105" s="39">
        <v>301</v>
      </c>
      <c r="J105" s="74">
        <v>211</v>
      </c>
      <c r="K105" s="37">
        <v>93.40000000000001</v>
      </c>
      <c r="L105" s="39">
        <v>56</v>
      </c>
      <c r="M105" s="39">
        <v>30.4</v>
      </c>
      <c r="N105" s="39">
        <v>30</v>
      </c>
      <c r="O105" s="39">
        <v>108.64</v>
      </c>
      <c r="P105" s="39">
        <v>305.068</v>
      </c>
      <c r="Q105" s="39">
        <v>52.4</v>
      </c>
      <c r="R105" s="40">
        <v>0.6</v>
      </c>
      <c r="S105" s="39">
        <v>2621.052593659940</v>
      </c>
      <c r="T105" s="39">
        <v>85.2</v>
      </c>
      <c r="U105" s="39">
        <v>0.6</v>
      </c>
      <c r="V105" s="39">
        <v>32.6</v>
      </c>
      <c r="W105" s="39">
        <v>33.85</v>
      </c>
      <c r="X105" s="39">
        <v>41</v>
      </c>
      <c r="Y105" s="39">
        <v>41.6</v>
      </c>
      <c r="Z105" s="41">
        <v>89.5</v>
      </c>
      <c r="AA105" s="42" cm="1">
        <f t="array" ref="AA105">Z105/1.01325</f>
        <v>88.32963237108309</v>
      </c>
      <c r="AB105" s="11"/>
      <c r="AC105" s="11"/>
      <c r="AD105" s="11"/>
      <c r="AE105" s="11"/>
      <c r="AF105" s="11"/>
      <c r="AG105" s="11"/>
      <c r="AH105" s="11"/>
      <c r="AI105" s="11"/>
      <c r="AJ105" s="11"/>
    </row>
    <row r="106" ht="15.75" customHeight="1">
      <c r="A106" s="44"/>
      <c r="B106" s="37">
        <v>11703</v>
      </c>
      <c r="C106" s="57">
        <v>39519</v>
      </c>
      <c r="D106" s="39">
        <v>3507.3</v>
      </c>
      <c r="E106" s="39">
        <v>11.11</v>
      </c>
      <c r="F106" s="39">
        <v>294</v>
      </c>
      <c r="G106" s="39">
        <v>202</v>
      </c>
      <c r="H106" s="39">
        <v>94</v>
      </c>
      <c r="I106" s="39">
        <v>294</v>
      </c>
      <c r="J106" s="74">
        <v>202</v>
      </c>
      <c r="K106" s="37">
        <v>94.59999999999999</v>
      </c>
      <c r="L106" s="39">
        <v>62</v>
      </c>
      <c r="M106" s="39">
        <v>37.1</v>
      </c>
      <c r="N106" s="39">
        <v>35.8</v>
      </c>
      <c r="O106" s="39">
        <v>108.62</v>
      </c>
      <c r="P106" s="39">
        <v>390.807</v>
      </c>
      <c r="Q106" s="39">
        <v>67.7</v>
      </c>
      <c r="R106" s="40">
        <v>0.4</v>
      </c>
      <c r="S106" s="39">
        <v>3523.208775654640</v>
      </c>
      <c r="T106" s="39">
        <v>102.3</v>
      </c>
      <c r="U106" s="39">
        <v>0.4</v>
      </c>
      <c r="V106" s="39">
        <v>32.6</v>
      </c>
      <c r="W106" s="39">
        <v>33.85</v>
      </c>
      <c r="X106" s="39">
        <v>41</v>
      </c>
      <c r="Y106" s="39">
        <v>41.6</v>
      </c>
      <c r="Z106" s="41">
        <v>89.59999999999999</v>
      </c>
      <c r="AA106" s="42" cm="1">
        <f t="array" ref="AA106">Z106/1.01325</f>
        <v>88.4283246977547</v>
      </c>
      <c r="AB106" s="11"/>
      <c r="AC106" s="11"/>
      <c r="AD106" s="11"/>
      <c r="AE106" s="11"/>
      <c r="AF106" s="11"/>
      <c r="AG106" s="11"/>
      <c r="AH106" s="11"/>
      <c r="AI106" s="11"/>
      <c r="AJ106" s="11"/>
    </row>
    <row r="107" ht="15.75" customHeight="1">
      <c r="A107" s="44"/>
      <c r="B107" s="37">
        <v>11703</v>
      </c>
      <c r="C107" s="57">
        <v>39520</v>
      </c>
      <c r="D107" s="39">
        <v>3507.3</v>
      </c>
      <c r="E107" s="39">
        <v>12.7</v>
      </c>
      <c r="F107" s="39">
        <v>285.1</v>
      </c>
      <c r="G107" s="39">
        <v>193.8</v>
      </c>
      <c r="H107" s="39">
        <v>94.7</v>
      </c>
      <c r="I107" s="39">
        <v>285.4</v>
      </c>
      <c r="J107" s="74">
        <v>194</v>
      </c>
      <c r="K107" s="37">
        <v>95.40000000000001</v>
      </c>
      <c r="L107" s="39">
        <v>64</v>
      </c>
      <c r="M107" s="39">
        <v>42.3</v>
      </c>
      <c r="N107" s="39">
        <v>42</v>
      </c>
      <c r="O107" s="39">
        <v>108.54</v>
      </c>
      <c r="P107" s="39">
        <v>482.779</v>
      </c>
      <c r="Q107" s="39">
        <v>78.09999999999999</v>
      </c>
      <c r="R107" s="40">
        <v>0.2</v>
      </c>
      <c r="S107" s="39">
        <v>4492.345938375350</v>
      </c>
      <c r="T107" s="39">
        <v>123.2</v>
      </c>
      <c r="U107" s="39">
        <v>0.25</v>
      </c>
      <c r="V107" s="39">
        <v>32.6</v>
      </c>
      <c r="W107" s="39">
        <v>33.85</v>
      </c>
      <c r="X107" s="39">
        <v>41</v>
      </c>
      <c r="Y107" s="39">
        <v>41.6</v>
      </c>
      <c r="Z107" s="41">
        <v>89.7</v>
      </c>
      <c r="AA107" s="42" cm="1">
        <f t="array" ref="AA107">Z107/1.01325</f>
        <v>88.5270170244264</v>
      </c>
      <c r="AB107" s="11"/>
      <c r="AC107" s="11"/>
      <c r="AD107" s="11"/>
      <c r="AE107" s="11"/>
      <c r="AF107" s="11"/>
      <c r="AG107" s="11"/>
      <c r="AH107" s="11"/>
      <c r="AI107" s="11"/>
      <c r="AJ107" s="11"/>
    </row>
    <row r="108" ht="15" customHeight="1">
      <c r="A108" s="45"/>
      <c r="B108" s="37">
        <v>11703</v>
      </c>
      <c r="C108" s="57">
        <v>39521</v>
      </c>
      <c r="D108" s="39">
        <v>3507.3</v>
      </c>
      <c r="E108" s="37">
        <v>14.29</v>
      </c>
      <c r="F108" s="39">
        <v>275.6</v>
      </c>
      <c r="G108" s="39">
        <v>180</v>
      </c>
      <c r="H108" s="39">
        <v>97.09999999999999</v>
      </c>
      <c r="I108" s="39">
        <v>275.6</v>
      </c>
      <c r="J108" s="74">
        <v>180</v>
      </c>
      <c r="K108" s="37">
        <v>98.59999999999999</v>
      </c>
      <c r="L108" s="39">
        <v>67</v>
      </c>
      <c r="M108" s="39">
        <v>47.6</v>
      </c>
      <c r="N108" s="39">
        <v>46.9</v>
      </c>
      <c r="O108" s="39">
        <v>108.43</v>
      </c>
      <c r="P108" s="39">
        <v>556.6180000000001</v>
      </c>
      <c r="Q108" s="39">
        <v>86.7</v>
      </c>
      <c r="R108" s="40">
        <v>0.8</v>
      </c>
      <c r="S108" s="39">
        <v>5139.560721721030</v>
      </c>
      <c r="T108" s="39">
        <v>142.2</v>
      </c>
      <c r="U108" s="39">
        <v>0.86</v>
      </c>
      <c r="V108" s="39">
        <v>32.6</v>
      </c>
      <c r="W108" s="39">
        <v>33.85</v>
      </c>
      <c r="X108" s="39">
        <v>41</v>
      </c>
      <c r="Y108" s="39">
        <v>41.6</v>
      </c>
      <c r="Z108" s="41">
        <v>91.59999999999999</v>
      </c>
      <c r="AA108" s="42" cm="1">
        <f t="array" ref="AA108">Z108/1.01325</f>
        <v>90.4021712311868</v>
      </c>
      <c r="AB108" s="11"/>
      <c r="AC108" s="11"/>
      <c r="AD108" s="11"/>
      <c r="AE108" s="11"/>
      <c r="AF108" s="11"/>
      <c r="AG108" s="11"/>
      <c r="AH108" s="11"/>
      <c r="AI108" s="11"/>
      <c r="AJ108" s="11"/>
    </row>
    <row r="109" ht="15" customHeight="1">
      <c r="A109" s="36">
        <v>6</v>
      </c>
      <c r="B109" s="37">
        <v>11703</v>
      </c>
      <c r="C109" s="57">
        <v>40304</v>
      </c>
      <c r="D109" s="39">
        <v>3527.8</v>
      </c>
      <c r="E109" s="37">
        <v>9.529999999999999</v>
      </c>
      <c r="F109" t="s" s="47">
        <v>44</v>
      </c>
      <c r="G109" s="39">
        <v>168</v>
      </c>
      <c r="H109" s="39">
        <v>94.7</v>
      </c>
      <c r="I109" t="s" s="47">
        <v>44</v>
      </c>
      <c r="J109" s="75">
        <v>168</v>
      </c>
      <c r="K109" s="37">
        <v>94.59999999999999</v>
      </c>
      <c r="L109" s="39">
        <v>48</v>
      </c>
      <c r="M109" s="39">
        <v>32</v>
      </c>
      <c r="N109" s="39">
        <v>31.8</v>
      </c>
      <c r="O109" t="s" s="47">
        <v>44</v>
      </c>
      <c r="P109" s="39">
        <v>233.172</v>
      </c>
      <c r="Q109" s="39">
        <v>35.5</v>
      </c>
      <c r="R109" s="40">
        <v>1.8</v>
      </c>
      <c r="S109" s="39">
        <v>2013.334525025540</v>
      </c>
      <c r="T109" s="39">
        <v>57</v>
      </c>
      <c r="U109" s="39">
        <v>1.83</v>
      </c>
      <c r="V109" s="39">
        <v>32.63023</v>
      </c>
      <c r="W109" s="76">
        <v>29.305</v>
      </c>
      <c r="X109" s="76">
        <v>38.65</v>
      </c>
      <c r="Y109" t="s" s="47">
        <v>44</v>
      </c>
      <c r="Z109" s="41">
        <v>92.90000000000001</v>
      </c>
      <c r="AA109" s="42" cm="1">
        <f t="array" ref="AA109">Z109/1.01325</f>
        <v>91.68517147791761</v>
      </c>
      <c r="AB109" s="11"/>
      <c r="AC109" s="11"/>
      <c r="AD109" s="11"/>
      <c r="AE109" s="11"/>
      <c r="AF109" s="11"/>
      <c r="AG109" s="11"/>
      <c r="AH109" s="11"/>
      <c r="AI109" s="11"/>
      <c r="AJ109" s="11"/>
    </row>
    <row r="110" ht="15" customHeight="1">
      <c r="A110" s="45"/>
      <c r="B110" s="37">
        <v>11703</v>
      </c>
      <c r="C110" s="57">
        <v>40308</v>
      </c>
      <c r="D110" s="39">
        <v>3527.8</v>
      </c>
      <c r="E110" s="39">
        <v>12.7</v>
      </c>
      <c r="F110" t="s" s="47">
        <v>44</v>
      </c>
      <c r="G110" s="39">
        <v>143</v>
      </c>
      <c r="H110" s="39">
        <v>95.7</v>
      </c>
      <c r="I110" t="s" s="47">
        <v>44</v>
      </c>
      <c r="J110" s="75">
        <v>143</v>
      </c>
      <c r="K110" s="37">
        <v>95.8</v>
      </c>
      <c r="L110" s="39">
        <v>53</v>
      </c>
      <c r="M110" s="39">
        <v>43.4</v>
      </c>
      <c r="N110" s="39">
        <v>43.5</v>
      </c>
      <c r="O110" t="s" s="47">
        <v>44</v>
      </c>
      <c r="P110" s="39">
        <v>318.033</v>
      </c>
      <c r="Q110" s="39">
        <v>39.2</v>
      </c>
      <c r="R110" s="40">
        <v>2.9</v>
      </c>
      <c r="S110" s="39">
        <v>2964.270790378010</v>
      </c>
      <c r="T110" s="39">
        <v>63.9</v>
      </c>
      <c r="U110" s="39">
        <v>3</v>
      </c>
      <c r="V110" s="39">
        <v>32.63023</v>
      </c>
      <c r="W110" s="76">
        <v>29.305</v>
      </c>
      <c r="X110" s="76">
        <v>38.65</v>
      </c>
      <c r="Y110" t="s" s="47">
        <v>44</v>
      </c>
      <c r="Z110" s="41">
        <v>93.3</v>
      </c>
      <c r="AA110" s="42" cm="1">
        <f t="array" ref="AA110">Z110/1.01325</f>
        <v>92.07994078460401</v>
      </c>
      <c r="AB110" s="11"/>
      <c r="AC110" s="11"/>
      <c r="AD110" s="11"/>
      <c r="AE110" s="11"/>
      <c r="AF110" s="11"/>
      <c r="AG110" s="11"/>
      <c r="AH110" s="11"/>
      <c r="AI110" s="11"/>
      <c r="AJ110" s="11"/>
    </row>
    <row r="111" ht="15" customHeight="1">
      <c r="A111" s="72">
        <v>15</v>
      </c>
      <c r="B111" s="37">
        <v>11703</v>
      </c>
      <c r="C111" s="57">
        <v>40830</v>
      </c>
      <c r="D111" s="39">
        <v>3527.8</v>
      </c>
      <c r="E111" s="39">
        <v>9.529999999999999</v>
      </c>
      <c r="F111" s="39">
        <v>205.13</v>
      </c>
      <c r="G111" s="39">
        <v>150.1</v>
      </c>
      <c r="H111" s="39">
        <v>99.1912288989236</v>
      </c>
      <c r="I111" s="39">
        <v>205.1</v>
      </c>
      <c r="J111" s="39">
        <v>147.1</v>
      </c>
      <c r="K111" s="39">
        <v>43.7</v>
      </c>
      <c r="L111" s="39">
        <v>45</v>
      </c>
      <c r="M111" s="39">
        <v>33.7083383119138</v>
      </c>
      <c r="N111" s="39"/>
      <c r="O111" s="39">
        <v>105.5</v>
      </c>
      <c r="P111" s="39">
        <v>183.524230635637</v>
      </c>
      <c r="Q111" s="39">
        <v>34.3245026050712</v>
      </c>
      <c r="R111" s="39">
        <v>1.49133260854463</v>
      </c>
      <c r="S111" s="39">
        <v>3828.846161086880</v>
      </c>
      <c r="T111" s="39">
        <v>41.1</v>
      </c>
      <c r="U111" s="39">
        <v>1.1</v>
      </c>
      <c r="V111" s="39">
        <v>32.6</v>
      </c>
      <c r="W111" s="39">
        <v>24.76</v>
      </c>
      <c r="X111" s="39">
        <v>36.3</v>
      </c>
      <c r="Y111" t="s" s="47">
        <v>44</v>
      </c>
      <c r="Z111" s="41">
        <v>96.8</v>
      </c>
      <c r="AA111" s="42" cm="1">
        <f t="array" ref="AA111">Z111/1.01325</f>
        <v>95.534172218110</v>
      </c>
      <c r="AB111" s="11"/>
      <c r="AC111" s="11"/>
      <c r="AD111" s="11"/>
      <c r="AE111" s="11"/>
      <c r="AF111" s="11"/>
      <c r="AG111" s="11"/>
      <c r="AH111" s="11"/>
      <c r="AI111" s="11"/>
      <c r="AJ111" s="11"/>
    </row>
    <row r="112" ht="15" customHeight="1">
      <c r="A112" s="77"/>
      <c r="B112" s="37">
        <v>11703</v>
      </c>
      <c r="C112" s="57">
        <v>40832</v>
      </c>
      <c r="D112" s="39">
        <v>3527.8</v>
      </c>
      <c r="E112" s="39">
        <v>11.11</v>
      </c>
      <c r="F112" s="39">
        <v>198.31</v>
      </c>
      <c r="G112" s="39">
        <v>144.3</v>
      </c>
      <c r="H112" s="39">
        <v>98.0164818418764</v>
      </c>
      <c r="I112" s="39">
        <v>198.5</v>
      </c>
      <c r="J112" s="39">
        <v>141.1</v>
      </c>
      <c r="K112" s="39">
        <v>43.9</v>
      </c>
      <c r="L112" s="39">
        <v>46</v>
      </c>
      <c r="M112" s="39">
        <v>36.8541982623805</v>
      </c>
      <c r="N112" s="39"/>
      <c r="O112" s="39">
        <v>105.2</v>
      </c>
      <c r="P112" s="39">
        <v>209.522647801920</v>
      </c>
      <c r="Q112" s="39">
        <v>36.962190616855</v>
      </c>
      <c r="R112" s="39">
        <v>2.45476692093831</v>
      </c>
      <c r="S112" s="39">
        <v>4446.497889055910</v>
      </c>
      <c r="T112" s="39">
        <v>46</v>
      </c>
      <c r="U112" s="39">
        <v>1.3</v>
      </c>
      <c r="V112" s="39">
        <v>32.6</v>
      </c>
      <c r="W112" s="39">
        <v>24.76</v>
      </c>
      <c r="X112" s="39">
        <v>36.3</v>
      </c>
      <c r="Y112" t="s" s="47">
        <v>44</v>
      </c>
      <c r="Z112" s="41">
        <v>97</v>
      </c>
      <c r="AA112" s="42" cm="1">
        <f t="array" ref="AA112">Z112/1.01325</f>
        <v>95.73155687145319</v>
      </c>
      <c r="AB112" s="11"/>
      <c r="AC112" s="11"/>
      <c r="AD112" s="11"/>
      <c r="AE112" s="11"/>
      <c r="AF112" s="11"/>
      <c r="AG112" s="11"/>
      <c r="AH112" s="11"/>
      <c r="AI112" s="11"/>
      <c r="AJ112" s="11"/>
    </row>
    <row r="113" ht="15" customHeight="1">
      <c r="A113" s="77"/>
      <c r="B113" s="37">
        <v>11703</v>
      </c>
      <c r="C113" s="57">
        <v>40836</v>
      </c>
      <c r="D113" s="39">
        <v>3527.8</v>
      </c>
      <c r="E113" s="39">
        <v>12.7</v>
      </c>
      <c r="F113" s="39">
        <v>180.04</v>
      </c>
      <c r="G113" s="39">
        <v>131.6</v>
      </c>
      <c r="H113" s="39">
        <v>97.73334458753919</v>
      </c>
      <c r="I113" s="39">
        <v>184.1</v>
      </c>
      <c r="J113" s="39">
        <v>128.5</v>
      </c>
      <c r="K113" s="39">
        <v>49.3</v>
      </c>
      <c r="L113" s="39">
        <v>48</v>
      </c>
      <c r="M113" s="39">
        <v>43.1092300730943</v>
      </c>
      <c r="N113" s="39"/>
      <c r="O113" s="39">
        <v>104.1</v>
      </c>
      <c r="P113" s="39">
        <v>245.773995823181</v>
      </c>
      <c r="Q113" s="39">
        <v>35.3766442742778</v>
      </c>
      <c r="R113" s="39">
        <v>9.359832753219621</v>
      </c>
      <c r="S113" s="39">
        <v>5288.830679813210</v>
      </c>
      <c r="T113" s="39">
        <v>52</v>
      </c>
      <c r="U113" s="39">
        <v>1.7</v>
      </c>
      <c r="V113" s="39">
        <v>32.6</v>
      </c>
      <c r="W113" s="39">
        <v>24.76</v>
      </c>
      <c r="X113" s="39">
        <v>36.3</v>
      </c>
      <c r="Y113" t="s" s="47">
        <v>44</v>
      </c>
      <c r="Z113" s="41">
        <v>95.40000000000001</v>
      </c>
      <c r="AA113" s="42" cm="1">
        <f t="array" ref="AA113">Z113/1.01325</f>
        <v>94.1524796447076</v>
      </c>
      <c r="AB113" s="11"/>
      <c r="AC113" s="11"/>
      <c r="AD113" s="11"/>
      <c r="AE113" s="11"/>
      <c r="AF113" s="11"/>
      <c r="AG113" s="11"/>
      <c r="AH113" s="11"/>
      <c r="AI113" s="11"/>
      <c r="AJ113" s="11"/>
    </row>
    <row r="114" ht="15" customHeight="1">
      <c r="A114" s="73"/>
      <c r="B114" s="37">
        <v>11703</v>
      </c>
      <c r="C114" s="57">
        <v>40841</v>
      </c>
      <c r="D114" s="39">
        <v>3527.8</v>
      </c>
      <c r="E114" s="39">
        <v>14.29</v>
      </c>
      <c r="F114" s="39">
        <v>173.93</v>
      </c>
      <c r="G114" s="39">
        <v>122.6</v>
      </c>
      <c r="H114" s="39">
        <v>97.5606844490936</v>
      </c>
      <c r="I114" s="39">
        <v>174.2</v>
      </c>
      <c r="J114" s="39">
        <v>119.6</v>
      </c>
      <c r="K114" s="39">
        <v>49.6</v>
      </c>
      <c r="L114" s="39">
        <v>48</v>
      </c>
      <c r="M114" s="39">
        <v>45.7525529986053</v>
      </c>
      <c r="N114" s="39"/>
      <c r="O114" s="39">
        <v>103.5</v>
      </c>
      <c r="P114" s="39">
        <v>261.416893305439</v>
      </c>
      <c r="Q114" s="39">
        <v>31.4825017433752</v>
      </c>
      <c r="R114" s="39">
        <v>16.0311448047419</v>
      </c>
      <c r="S114" s="39">
        <v>5594.403427372120</v>
      </c>
      <c r="T114" s="39">
        <v>50.5</v>
      </c>
      <c r="U114" s="39">
        <v>1.8</v>
      </c>
      <c r="V114" s="39">
        <v>32.6</v>
      </c>
      <c r="W114" s="39">
        <v>24.76</v>
      </c>
      <c r="X114" s="39">
        <v>36.3</v>
      </c>
      <c r="Y114" t="s" s="47">
        <v>44</v>
      </c>
      <c r="Z114" s="41">
        <v>95.7</v>
      </c>
      <c r="AA114" s="42" cm="1">
        <f t="array" ref="AA114">Z114/1.01325</f>
        <v>94.4485566247224</v>
      </c>
      <c r="AB114" s="11"/>
      <c r="AC114" s="11"/>
      <c r="AD114" s="11"/>
      <c r="AE114" s="11"/>
      <c r="AF114" s="11"/>
      <c r="AG114" s="11"/>
      <c r="AH114" s="11"/>
      <c r="AI114" s="11"/>
      <c r="AJ114" s="11"/>
    </row>
    <row r="115" ht="15" customHeight="1">
      <c r="A115" s="36">
        <v>11</v>
      </c>
      <c r="B115" s="37">
        <v>11704</v>
      </c>
      <c r="C115" s="57">
        <v>39525</v>
      </c>
      <c r="D115" s="39">
        <v>3505.5</v>
      </c>
      <c r="E115" s="37">
        <v>9.529999999999999</v>
      </c>
      <c r="F115" s="39">
        <v>251</v>
      </c>
      <c r="G115" s="39">
        <v>172.434782608696</v>
      </c>
      <c r="H115" s="39">
        <v>90.02292661560941</v>
      </c>
      <c r="I115" s="39">
        <v>250.1</v>
      </c>
      <c r="J115" s="39">
        <v>173</v>
      </c>
      <c r="K115" s="39">
        <v>89.90000000000001</v>
      </c>
      <c r="L115" s="39">
        <v>49</v>
      </c>
      <c r="M115" s="39">
        <v>26.5775374690007</v>
      </c>
      <c r="N115" s="39">
        <v>26.3</v>
      </c>
      <c r="O115" s="39">
        <v>107.57</v>
      </c>
      <c r="P115" s="39">
        <v>243.813150301094</v>
      </c>
      <c r="Q115" s="39">
        <v>60.6982641575492</v>
      </c>
      <c r="R115" s="40">
        <v>1.15802800875273</v>
      </c>
      <c r="S115" s="39">
        <v>2029</v>
      </c>
      <c r="T115" s="39">
        <v>104</v>
      </c>
      <c r="U115" s="39">
        <v>1</v>
      </c>
      <c r="V115" s="39">
        <v>17.3</v>
      </c>
      <c r="W115" s="39">
        <v>30.93</v>
      </c>
      <c r="X115" t="s" s="47">
        <v>44</v>
      </c>
      <c r="Y115" t="s" s="47">
        <v>44</v>
      </c>
      <c r="Z115" s="41">
        <v>86.59999999999999</v>
      </c>
      <c r="AA115" s="42" cm="1">
        <f t="array" ref="AA115">Z115/1.01325</f>
        <v>85.4675548976067</v>
      </c>
      <c r="AB115" s="11"/>
      <c r="AC115" s="11"/>
      <c r="AD115" s="11"/>
      <c r="AE115" s="11"/>
      <c r="AF115" s="11"/>
      <c r="AG115" s="11"/>
      <c r="AH115" s="11"/>
      <c r="AI115" s="11"/>
      <c r="AJ115" s="11"/>
    </row>
    <row r="116" ht="15" customHeight="1">
      <c r="A116" s="44"/>
      <c r="B116" s="37">
        <v>11704</v>
      </c>
      <c r="C116" s="57">
        <v>39526</v>
      </c>
      <c r="D116" s="39">
        <v>3505.5</v>
      </c>
      <c r="E116" s="39">
        <v>11.11</v>
      </c>
      <c r="F116" s="39">
        <v>241.2</v>
      </c>
      <c r="G116" s="39">
        <v>164.217391304348</v>
      </c>
      <c r="H116" s="39">
        <v>91.1316830169246</v>
      </c>
      <c r="I116" s="39">
        <v>241.2</v>
      </c>
      <c r="J116" s="39">
        <v>164</v>
      </c>
      <c r="K116" s="39">
        <v>90.90000000000001</v>
      </c>
      <c r="L116" s="39">
        <v>54</v>
      </c>
      <c r="M116" s="39">
        <v>33.1428332523915</v>
      </c>
      <c r="N116" s="39">
        <v>32.9</v>
      </c>
      <c r="O116" s="39">
        <v>107.47</v>
      </c>
      <c r="P116" s="39">
        <v>306.537712427726</v>
      </c>
      <c r="Q116" s="39">
        <v>77.9071641501104</v>
      </c>
      <c r="R116" s="40">
        <v>0.940709933774836</v>
      </c>
      <c r="S116" s="39">
        <v>2648</v>
      </c>
      <c r="T116" s="39">
        <v>134</v>
      </c>
      <c r="U116" s="39">
        <v>1</v>
      </c>
      <c r="V116" s="39">
        <v>17.3</v>
      </c>
      <c r="W116" s="39">
        <v>30.93</v>
      </c>
      <c r="X116" t="s" s="47">
        <v>44</v>
      </c>
      <c r="Y116" t="s" s="47">
        <v>44</v>
      </c>
      <c r="Z116" s="41">
        <v>87.09999999999999</v>
      </c>
      <c r="AA116" s="42" cm="1">
        <f t="array" ref="AA116">Z116/1.01325</f>
        <v>85.9610165309647</v>
      </c>
      <c r="AB116" s="11"/>
      <c r="AC116" s="11"/>
      <c r="AD116" s="11"/>
      <c r="AE116" s="11"/>
      <c r="AF116" s="11"/>
      <c r="AG116" s="11"/>
      <c r="AH116" s="11"/>
      <c r="AI116" s="11"/>
      <c r="AJ116" s="11"/>
    </row>
    <row r="117" ht="15" customHeight="1">
      <c r="A117" s="44"/>
      <c r="B117" s="37">
        <v>11704</v>
      </c>
      <c r="C117" s="57">
        <v>39527</v>
      </c>
      <c r="D117" s="39">
        <v>3505.5</v>
      </c>
      <c r="E117" s="39">
        <v>12.7</v>
      </c>
      <c r="F117" s="39">
        <v>228.9</v>
      </c>
      <c r="G117" s="39">
        <v>151.708333333333</v>
      </c>
      <c r="H117" s="39">
        <v>94.37298915523461</v>
      </c>
      <c r="I117" s="39">
        <v>228.9</v>
      </c>
      <c r="J117" s="39">
        <v>151</v>
      </c>
      <c r="K117" s="39">
        <v>92.8</v>
      </c>
      <c r="L117" s="39">
        <v>57</v>
      </c>
      <c r="M117" s="39">
        <v>40.3284612996389</v>
      </c>
      <c r="N117" s="39">
        <v>40.5</v>
      </c>
      <c r="O117" s="39">
        <v>107.25</v>
      </c>
      <c r="P117" s="39">
        <v>361.075696741776</v>
      </c>
      <c r="Q117" s="39">
        <v>95.1619317833935</v>
      </c>
      <c r="R117" s="40">
        <v>2.07850466425993</v>
      </c>
      <c r="S117" s="39">
        <v>3153</v>
      </c>
      <c r="T117" s="39">
        <v>165</v>
      </c>
      <c r="U117" s="39">
        <v>2</v>
      </c>
      <c r="V117" s="39">
        <v>17.3</v>
      </c>
      <c r="W117" s="39">
        <v>30.93</v>
      </c>
      <c r="X117" t="s" s="47">
        <v>44</v>
      </c>
      <c r="Y117" t="s" s="47">
        <v>44</v>
      </c>
      <c r="Z117" s="41">
        <v>90.59999999999999</v>
      </c>
      <c r="AA117" s="42" cm="1">
        <f t="array" ref="AA117">Z117/1.01325</f>
        <v>89.41524796447079</v>
      </c>
      <c r="AB117" s="11"/>
      <c r="AC117" s="11"/>
      <c r="AD117" s="11"/>
      <c r="AE117" s="11"/>
      <c r="AF117" s="11"/>
      <c r="AG117" s="11"/>
      <c r="AH117" s="11"/>
      <c r="AI117" s="11"/>
      <c r="AJ117" s="11"/>
    </row>
    <row r="118" ht="15" customHeight="1">
      <c r="A118" s="45"/>
      <c r="B118" s="37">
        <v>11704</v>
      </c>
      <c r="C118" s="57">
        <v>39528</v>
      </c>
      <c r="D118" s="39">
        <v>3505.5</v>
      </c>
      <c r="E118" s="37">
        <v>14.29</v>
      </c>
      <c r="F118" s="39">
        <v>217.3</v>
      </c>
      <c r="G118" s="39">
        <v>138.791666666667</v>
      </c>
      <c r="H118" s="39">
        <v>94.36171424982039</v>
      </c>
      <c r="I118" s="39">
        <v>217.2</v>
      </c>
      <c r="J118" s="39">
        <v>138</v>
      </c>
      <c r="K118" s="39">
        <v>94.40000000000001</v>
      </c>
      <c r="L118" s="39">
        <v>59</v>
      </c>
      <c r="M118" s="39">
        <v>45.1179374228284</v>
      </c>
      <c r="N118" s="39">
        <v>44.8</v>
      </c>
      <c r="O118" s="39">
        <v>106.97</v>
      </c>
      <c r="P118" s="39">
        <v>398.031150762383</v>
      </c>
      <c r="Q118" s="39">
        <v>109.281725599426</v>
      </c>
      <c r="R118" s="40">
        <v>2.47041045226131</v>
      </c>
      <c r="S118" s="39">
        <v>3580</v>
      </c>
      <c r="T118" s="39">
        <v>189</v>
      </c>
      <c r="U118" s="39">
        <v>2</v>
      </c>
      <c r="V118" s="39">
        <v>17.3</v>
      </c>
      <c r="W118" s="39">
        <v>30.93</v>
      </c>
      <c r="X118" t="s" s="47">
        <v>44</v>
      </c>
      <c r="Y118" t="s" s="47">
        <v>44</v>
      </c>
      <c r="Z118" s="41">
        <v>90.59999999999999</v>
      </c>
      <c r="AA118" s="42" cm="1">
        <f t="array" ref="AA118">Z118/1.01325</f>
        <v>89.41524796447079</v>
      </c>
      <c r="AB118" s="11"/>
      <c r="AC118" s="11"/>
      <c r="AD118" s="11"/>
      <c r="AE118" s="11"/>
      <c r="AF118" s="11"/>
      <c r="AG118" s="11"/>
      <c r="AH118" s="11"/>
      <c r="AI118" s="11"/>
      <c r="AJ118" s="11"/>
    </row>
    <row r="119" ht="15" customHeight="1">
      <c r="A119" s="36">
        <v>7</v>
      </c>
      <c r="B119" s="37">
        <v>11704</v>
      </c>
      <c r="C119" s="57">
        <v>40292</v>
      </c>
      <c r="D119" s="39">
        <v>3506.5</v>
      </c>
      <c r="E119" s="37">
        <v>9.529999999999999</v>
      </c>
      <c r="F119" s="39">
        <v>213.767</v>
      </c>
      <c r="G119" s="39">
        <v>153</v>
      </c>
      <c r="H119" s="39">
        <v>97.6358774734332</v>
      </c>
      <c r="I119" s="39">
        <v>210.5</v>
      </c>
      <c r="J119" s="75">
        <v>151</v>
      </c>
      <c r="K119" s="74">
        <v>97.45014999999999</v>
      </c>
      <c r="L119" s="39">
        <v>42.6</v>
      </c>
      <c r="M119" s="39">
        <v>30.2819979944488</v>
      </c>
      <c r="N119" s="39">
        <v>29.8</v>
      </c>
      <c r="O119" s="39">
        <v>107.06</v>
      </c>
      <c r="P119" s="39">
        <v>206.232</v>
      </c>
      <c r="Q119" s="39">
        <v>35.883</v>
      </c>
      <c r="R119" s="40">
        <v>1.763</v>
      </c>
      <c r="S119" s="39">
        <v>1681.609658345140</v>
      </c>
      <c r="T119" s="39">
        <v>55</v>
      </c>
      <c r="U119" s="39">
        <v>2</v>
      </c>
      <c r="V119" s="39">
        <v>26.56606</v>
      </c>
      <c r="W119" s="39">
        <v>26.4</v>
      </c>
      <c r="X119" s="39">
        <v>42.4</v>
      </c>
      <c r="Y119" s="39">
        <v>41</v>
      </c>
      <c r="Z119" s="41">
        <v>95</v>
      </c>
      <c r="AA119" s="42" cm="1">
        <f t="array" ref="AA119">Z119/1.01325</f>
        <v>93.7577103380212</v>
      </c>
      <c r="AB119" s="11"/>
      <c r="AC119" s="11"/>
      <c r="AD119" s="11"/>
      <c r="AE119" s="11"/>
      <c r="AF119" s="11"/>
      <c r="AG119" s="11"/>
      <c r="AH119" s="11"/>
      <c r="AI119" s="11"/>
      <c r="AJ119" s="11"/>
    </row>
    <row r="120" ht="15" customHeight="1">
      <c r="A120" s="45"/>
      <c r="B120" s="37">
        <v>11704</v>
      </c>
      <c r="C120" s="57">
        <v>40296</v>
      </c>
      <c r="D120" s="39">
        <v>3506.5</v>
      </c>
      <c r="E120" s="39">
        <v>12.7</v>
      </c>
      <c r="F120" s="39">
        <v>200.908</v>
      </c>
      <c r="G120" s="39">
        <v>132</v>
      </c>
      <c r="H120" s="39">
        <v>97.33459246788991</v>
      </c>
      <c r="I120" s="39">
        <v>200.9</v>
      </c>
      <c r="J120" s="75">
        <v>132</v>
      </c>
      <c r="K120" s="74">
        <v>97.216438</v>
      </c>
      <c r="L120" s="39">
        <v>44.2</v>
      </c>
      <c r="M120" s="39">
        <v>41.4473872985821</v>
      </c>
      <c r="N120" s="39">
        <v>40</v>
      </c>
      <c r="O120" s="39">
        <v>106.86</v>
      </c>
      <c r="P120" s="39">
        <v>280.213</v>
      </c>
      <c r="Q120" s="39">
        <v>40.311</v>
      </c>
      <c r="R120" s="40">
        <v>4.81</v>
      </c>
      <c r="S120" s="39">
        <v>2573.329432496190</v>
      </c>
      <c r="T120" s="39">
        <v>65</v>
      </c>
      <c r="U120" s="39">
        <v>5</v>
      </c>
      <c r="V120" s="39">
        <v>26.56606</v>
      </c>
      <c r="W120" s="39">
        <v>26.4</v>
      </c>
      <c r="X120" s="39">
        <v>42.4</v>
      </c>
      <c r="Y120" s="39">
        <v>41</v>
      </c>
      <c r="Z120" s="41">
        <v>91.90000000000001</v>
      </c>
      <c r="AA120" s="42" cm="1">
        <f t="array" ref="AA120">Z120/1.01325</f>
        <v>90.6982482112016</v>
      </c>
      <c r="AB120" s="11"/>
      <c r="AC120" s="11"/>
      <c r="AD120" s="11"/>
      <c r="AE120" s="11"/>
      <c r="AF120" s="11"/>
      <c r="AG120" s="11"/>
      <c r="AH120" s="11"/>
      <c r="AI120" s="11"/>
      <c r="AJ120" s="11"/>
    </row>
    <row r="121" ht="15" customHeight="1">
      <c r="A121" s="36">
        <v>14</v>
      </c>
      <c r="B121" s="37">
        <v>12104</v>
      </c>
      <c r="C121" s="57">
        <v>39559</v>
      </c>
      <c r="D121" s="39">
        <v>3573</v>
      </c>
      <c r="E121" s="37">
        <v>9.529999999999999</v>
      </c>
      <c r="F121" s="39">
        <v>288.97</v>
      </c>
      <c r="G121" s="39">
        <v>204.081632653061</v>
      </c>
      <c r="H121" s="39">
        <v>107.674038128250</v>
      </c>
      <c r="I121" s="39">
        <v>287.9</v>
      </c>
      <c r="J121" s="39">
        <v>203</v>
      </c>
      <c r="K121" s="39">
        <v>107.711612903226</v>
      </c>
      <c r="L121" s="39">
        <v>58.3</v>
      </c>
      <c r="M121" s="39">
        <v>36.0949150779896</v>
      </c>
      <c r="N121" s="39">
        <v>35.9</v>
      </c>
      <c r="O121" s="39">
        <v>107.53</v>
      </c>
      <c r="P121" s="39">
        <v>287.398353552860</v>
      </c>
      <c r="Q121" s="39">
        <v>45.6357071057193</v>
      </c>
      <c r="R121" s="40">
        <v>0.28157301559792</v>
      </c>
      <c r="S121" s="39">
        <v>2218.013584767490</v>
      </c>
      <c r="T121" s="39">
        <v>72.09999999999999</v>
      </c>
      <c r="U121" s="39">
        <v>0.3</v>
      </c>
      <c r="V121" s="39">
        <v>39.80008</v>
      </c>
      <c r="W121" s="39">
        <v>32.31</v>
      </c>
      <c r="X121" s="39">
        <v>35.8</v>
      </c>
      <c r="Y121" s="39">
        <v>36.5</v>
      </c>
      <c r="Z121" s="41">
        <v>91.8</v>
      </c>
      <c r="AA121" s="42" cm="1">
        <f t="array" ref="AA121">Z121/1.01325</f>
        <v>90.59955588453001</v>
      </c>
      <c r="AB121" s="11"/>
      <c r="AC121" s="11"/>
      <c r="AD121" s="11"/>
      <c r="AE121" s="11"/>
      <c r="AF121" s="11"/>
      <c r="AG121" s="11"/>
      <c r="AH121" s="11"/>
      <c r="AI121" s="11"/>
      <c r="AJ121" s="11"/>
    </row>
    <row r="122" ht="15" customHeight="1">
      <c r="A122" s="44"/>
      <c r="B122" s="37">
        <v>12104</v>
      </c>
      <c r="C122" s="57">
        <v>39561</v>
      </c>
      <c r="D122" s="39">
        <v>3573</v>
      </c>
      <c r="E122" s="39">
        <v>11.11</v>
      </c>
      <c r="F122" s="39">
        <v>281.37</v>
      </c>
      <c r="G122" s="39">
        <v>195.104166666667</v>
      </c>
      <c r="H122" s="39">
        <v>110.296241970021</v>
      </c>
      <c r="I122" s="39">
        <v>278.8</v>
      </c>
      <c r="J122" s="39">
        <v>193</v>
      </c>
      <c r="K122" s="39">
        <v>112.226451612903</v>
      </c>
      <c r="L122" s="39">
        <v>63</v>
      </c>
      <c r="M122" s="39">
        <v>43.2010920770879</v>
      </c>
      <c r="N122" s="39">
        <v>42.9</v>
      </c>
      <c r="O122" s="39">
        <v>107.5</v>
      </c>
      <c r="P122" s="39">
        <v>363.728875802998</v>
      </c>
      <c r="Q122" s="39">
        <v>57.0537141327623</v>
      </c>
      <c r="R122" s="40">
        <v>0.261729346895075</v>
      </c>
      <c r="S122" s="39">
        <v>2839.783556810160</v>
      </c>
      <c r="T122" s="39">
        <v>87.40000000000001</v>
      </c>
      <c r="U122" s="39">
        <v>0.3</v>
      </c>
      <c r="V122" s="39">
        <v>39.80008</v>
      </c>
      <c r="W122" s="39">
        <v>32.31</v>
      </c>
      <c r="X122" s="39">
        <v>35.8</v>
      </c>
      <c r="Y122" s="39">
        <v>36.5</v>
      </c>
      <c r="Z122" s="41">
        <v>92.09999999999999</v>
      </c>
      <c r="AA122" s="42" cm="1">
        <f t="array" ref="AA122">Z122/1.01325</f>
        <v>90.89563286454479</v>
      </c>
      <c r="AB122" s="11"/>
      <c r="AC122" s="11"/>
      <c r="AD122" s="11"/>
      <c r="AE122" s="11"/>
      <c r="AF122" s="11"/>
      <c r="AG122" s="11"/>
      <c r="AH122" s="11"/>
      <c r="AI122" s="11"/>
      <c r="AJ122" s="11"/>
    </row>
    <row r="123" ht="15" customHeight="1">
      <c r="A123" s="44"/>
      <c r="B123" s="37">
        <v>12104</v>
      </c>
      <c r="C123" s="57">
        <v>39563</v>
      </c>
      <c r="D123" s="39">
        <v>3573</v>
      </c>
      <c r="E123" s="39">
        <v>12.7</v>
      </c>
      <c r="F123" s="39">
        <v>271</v>
      </c>
      <c r="G123" s="39">
        <v>181</v>
      </c>
      <c r="H123" s="39">
        <v>113.635579793341</v>
      </c>
      <c r="I123" s="39">
        <v>267.7</v>
      </c>
      <c r="J123" s="39">
        <v>180</v>
      </c>
      <c r="K123" s="39">
        <v>113.478387096774</v>
      </c>
      <c r="L123" s="39">
        <v>65.59999999999999</v>
      </c>
      <c r="M123" s="39">
        <v>49.4551802525832</v>
      </c>
      <c r="N123" s="39">
        <v>48.6</v>
      </c>
      <c r="O123" s="39">
        <v>107.45</v>
      </c>
      <c r="P123" s="39">
        <v>441.995097588978</v>
      </c>
      <c r="Q123" s="39">
        <v>60.7188576349025</v>
      </c>
      <c r="R123" s="40">
        <v>0.556290585533869</v>
      </c>
      <c r="S123" s="39">
        <v>3498.578699472750</v>
      </c>
      <c r="T123" s="39">
        <v>93.2</v>
      </c>
      <c r="U123" s="39">
        <v>0.6</v>
      </c>
      <c r="V123" s="39">
        <v>39.80008</v>
      </c>
      <c r="W123" s="39">
        <v>32.31</v>
      </c>
      <c r="X123" s="39">
        <v>35.8</v>
      </c>
      <c r="Y123" s="39">
        <v>36.5</v>
      </c>
      <c r="Z123" s="41">
        <v>93.8</v>
      </c>
      <c r="AA123" s="42" cm="1">
        <f t="array" ref="AA123">Z123/1.01325</f>
        <v>92.573402417962</v>
      </c>
      <c r="AB123" s="11"/>
      <c r="AC123" s="11"/>
      <c r="AD123" s="11"/>
      <c r="AE123" s="11"/>
      <c r="AF123" s="11"/>
      <c r="AG123" s="11"/>
      <c r="AH123" s="11"/>
      <c r="AI123" s="11"/>
      <c r="AJ123" s="11"/>
    </row>
    <row r="124" ht="15" customHeight="1">
      <c r="A124" s="44"/>
      <c r="B124" s="37">
        <v>12104</v>
      </c>
      <c r="C124" s="57">
        <v>39565</v>
      </c>
      <c r="D124" s="39">
        <v>3573</v>
      </c>
      <c r="E124" s="37">
        <v>14.29</v>
      </c>
      <c r="F124" s="39">
        <v>261.09</v>
      </c>
      <c r="G124" s="39">
        <v>169.3</v>
      </c>
      <c r="H124" s="39">
        <v>115.936661316212</v>
      </c>
      <c r="I124" s="39">
        <v>267.7</v>
      </c>
      <c r="J124" s="39">
        <v>166</v>
      </c>
      <c r="K124" s="39">
        <v>111.163870967742</v>
      </c>
      <c r="L124" s="39">
        <v>67.40000000000001</v>
      </c>
      <c r="M124" s="39">
        <v>53.733176565008</v>
      </c>
      <c r="N124" s="39">
        <v>53.9</v>
      </c>
      <c r="O124" s="39">
        <v>107.36</v>
      </c>
      <c r="P124" s="39">
        <v>500.081476725522</v>
      </c>
      <c r="Q124" s="39">
        <v>65.96351845906899</v>
      </c>
      <c r="R124" s="40">
        <v>1.00842808988764</v>
      </c>
      <c r="S124" s="39">
        <v>3819.199893238440</v>
      </c>
      <c r="T124" s="39">
        <v>99.3</v>
      </c>
      <c r="U124" s="39">
        <v>1</v>
      </c>
      <c r="V124" s="39">
        <v>39.80008</v>
      </c>
      <c r="W124" s="39">
        <v>32.31</v>
      </c>
      <c r="X124" s="39">
        <v>35.8</v>
      </c>
      <c r="Y124" s="39">
        <v>36.5</v>
      </c>
      <c r="Z124" s="41">
        <v>95.3</v>
      </c>
      <c r="AA124" s="42" cm="1">
        <f t="array" ref="AA124">Z124/1.01325</f>
        <v>94.053787318036</v>
      </c>
      <c r="AB124" s="11"/>
      <c r="AC124" s="11"/>
      <c r="AD124" s="11"/>
      <c r="AE124" s="11"/>
      <c r="AF124" s="11"/>
      <c r="AG124" s="11"/>
      <c r="AH124" s="11"/>
      <c r="AI124" s="11"/>
      <c r="AJ124" s="11"/>
    </row>
    <row r="125" ht="15" customHeight="1">
      <c r="A125" s="45"/>
      <c r="B125" s="37">
        <v>12104</v>
      </c>
      <c r="C125" s="57">
        <v>39567</v>
      </c>
      <c r="D125" s="39">
        <v>3573</v>
      </c>
      <c r="E125" s="37">
        <v>9.529999999999999</v>
      </c>
      <c r="F125" s="39">
        <v>271.77</v>
      </c>
      <c r="G125" s="39">
        <v>188.897959183673</v>
      </c>
      <c r="H125" s="39">
        <v>112.624575688074</v>
      </c>
      <c r="I125" s="39">
        <v>274.9</v>
      </c>
      <c r="J125" s="39">
        <v>192</v>
      </c>
      <c r="K125" s="39">
        <v>111.485161290323</v>
      </c>
      <c r="L125" s="39">
        <v>59</v>
      </c>
      <c r="M125" s="39">
        <v>38.9035103211009</v>
      </c>
      <c r="N125" s="39">
        <v>39.3</v>
      </c>
      <c r="O125" s="39">
        <v>107.37</v>
      </c>
      <c r="P125" s="39">
        <v>272.584621559633</v>
      </c>
      <c r="Q125" s="39">
        <v>37.9095940366973</v>
      </c>
      <c r="R125" s="40">
        <v>0.117230876146789</v>
      </c>
      <c r="S125" s="39">
        <v>2015.978077332390</v>
      </c>
      <c r="T125" s="39">
        <v>57.4</v>
      </c>
      <c r="U125" s="39">
        <v>0.1</v>
      </c>
      <c r="V125" s="39">
        <v>39.80008</v>
      </c>
      <c r="W125" s="39">
        <v>32.31</v>
      </c>
      <c r="X125" s="39">
        <v>35.8</v>
      </c>
      <c r="Y125" s="39">
        <v>36.5</v>
      </c>
      <c r="Z125" s="41">
        <v>87.8</v>
      </c>
      <c r="AA125" s="42" cm="1">
        <f t="array" ref="AA125">Z125/1.01325</f>
        <v>86.6518628176659</v>
      </c>
      <c r="AB125" s="11"/>
      <c r="AC125" s="11"/>
      <c r="AD125" s="11"/>
      <c r="AE125" s="11"/>
      <c r="AF125" s="11"/>
      <c r="AG125" s="11"/>
      <c r="AH125" s="11"/>
      <c r="AI125" s="11"/>
      <c r="AJ125" s="11"/>
    </row>
    <row r="126" ht="15" customHeight="1">
      <c r="A126" s="36">
        <v>8</v>
      </c>
      <c r="B126" s="37">
        <v>12104</v>
      </c>
      <c r="C126" s="57">
        <v>40244</v>
      </c>
      <c r="D126" s="39">
        <v>3576.5</v>
      </c>
      <c r="E126" s="37">
        <v>9.529999999999999</v>
      </c>
      <c r="F126" s="39">
        <v>240</v>
      </c>
      <c r="G126" s="39">
        <v>178</v>
      </c>
      <c r="H126" s="39">
        <v>102.262791620728</v>
      </c>
      <c r="I126" s="39">
        <v>239.6</v>
      </c>
      <c r="J126" s="39">
        <v>178</v>
      </c>
      <c r="K126" s="39">
        <v>102.443548387097</v>
      </c>
      <c r="L126" s="39">
        <v>51</v>
      </c>
      <c r="M126" s="39">
        <v>34.5005231532525</v>
      </c>
      <c r="N126" s="39">
        <v>33.7</v>
      </c>
      <c r="O126" s="39">
        <v>107.6</v>
      </c>
      <c r="P126" s="39">
        <v>240.473539140022</v>
      </c>
      <c r="Q126" s="39">
        <v>27.7644046306505</v>
      </c>
      <c r="R126" s="40">
        <v>3.83233417861081</v>
      </c>
      <c r="S126" s="39">
        <v>1948.364414493260</v>
      </c>
      <c r="T126" s="39">
        <v>42.6096896551724</v>
      </c>
      <c r="U126" s="39">
        <v>3.9</v>
      </c>
      <c r="V126" s="39">
        <v>39.80008</v>
      </c>
      <c r="W126" s="39">
        <v>28</v>
      </c>
      <c r="X126" s="39">
        <v>34.8</v>
      </c>
      <c r="Y126" s="39">
        <v>36</v>
      </c>
      <c r="Z126" s="41">
        <v>88.09999999999999</v>
      </c>
      <c r="AA126" s="42" cm="1">
        <f t="array" ref="AA126">Z126/1.01325</f>
        <v>86.9479397976807</v>
      </c>
      <c r="AB126" s="11"/>
      <c r="AC126" s="11"/>
      <c r="AD126" s="11"/>
      <c r="AE126" s="11"/>
      <c r="AF126" s="11"/>
      <c r="AG126" s="11"/>
      <c r="AH126" s="11"/>
      <c r="AI126" s="11"/>
      <c r="AJ126" s="11"/>
    </row>
    <row r="127" ht="15" customHeight="1">
      <c r="A127" s="44"/>
      <c r="B127" s="37">
        <v>12104</v>
      </c>
      <c r="C127" s="57">
        <v>40248</v>
      </c>
      <c r="D127" s="39">
        <v>3576.5</v>
      </c>
      <c r="E127" s="39">
        <v>11.11</v>
      </c>
      <c r="F127" s="39">
        <v>232</v>
      </c>
      <c r="G127" s="39">
        <v>170</v>
      </c>
      <c r="H127" s="39">
        <v>106.564432432435</v>
      </c>
      <c r="I127" s="39">
        <v>230.6</v>
      </c>
      <c r="J127" s="39">
        <v>170</v>
      </c>
      <c r="K127" s="39">
        <v>106.724838709677</v>
      </c>
      <c r="L127" s="39">
        <v>55</v>
      </c>
      <c r="M127" s="39">
        <v>43.1197094594595</v>
      </c>
      <c r="N127" s="39">
        <v>41.5</v>
      </c>
      <c r="O127" s="39">
        <v>107.5</v>
      </c>
      <c r="P127" s="39">
        <v>299.306135135135</v>
      </c>
      <c r="Q127" s="39">
        <v>31.2508567567567</v>
      </c>
      <c r="R127" s="40">
        <v>4.85117804054053</v>
      </c>
      <c r="S127" s="39">
        <v>2467.811524390250</v>
      </c>
      <c r="T127" s="39">
        <v>48.6</v>
      </c>
      <c r="U127" s="39">
        <v>5</v>
      </c>
      <c r="V127" s="39">
        <v>39.80008</v>
      </c>
      <c r="W127" s="39">
        <v>28</v>
      </c>
      <c r="X127" s="39">
        <v>34.8</v>
      </c>
      <c r="Y127" s="39">
        <v>36</v>
      </c>
      <c r="Z127" s="41">
        <v>87.90000000000001</v>
      </c>
      <c r="AA127" s="42" cm="1">
        <f t="array" ref="AA127">Z127/1.01325</f>
        <v>86.7505551443375</v>
      </c>
      <c r="AB127" s="11"/>
      <c r="AC127" s="11"/>
      <c r="AD127" s="11"/>
      <c r="AE127" s="11"/>
      <c r="AF127" s="11"/>
      <c r="AG127" s="11"/>
      <c r="AH127" s="11"/>
      <c r="AI127" s="11"/>
      <c r="AJ127" s="11"/>
    </row>
    <row r="128" ht="15" customHeight="1">
      <c r="A128" s="45"/>
      <c r="B128" s="37">
        <v>12104</v>
      </c>
      <c r="C128" s="57">
        <v>40254</v>
      </c>
      <c r="D128" s="39">
        <v>3576.5</v>
      </c>
      <c r="E128" s="39">
        <v>12.7</v>
      </c>
      <c r="F128" s="39">
        <v>226</v>
      </c>
      <c r="G128" s="39">
        <v>160.315789473684</v>
      </c>
      <c r="H128" s="39">
        <v>108.494348623852</v>
      </c>
      <c r="I128" s="39">
        <v>224.6</v>
      </c>
      <c r="J128" s="39">
        <v>160</v>
      </c>
      <c r="K128" s="39">
        <v>105.2972</v>
      </c>
      <c r="L128" s="39">
        <v>51</v>
      </c>
      <c r="M128" s="39">
        <v>47.4631449541284</v>
      </c>
      <c r="N128" s="39">
        <v>46.9</v>
      </c>
      <c r="O128" s="39">
        <v>107.5</v>
      </c>
      <c r="P128" s="39">
        <v>347.736926605505</v>
      </c>
      <c r="Q128" s="39">
        <v>31.2508567567567</v>
      </c>
      <c r="R128" s="40">
        <v>5.38404779816514</v>
      </c>
      <c r="S128" s="39">
        <v>2884.353550192380</v>
      </c>
      <c r="T128" s="39">
        <v>49.4</v>
      </c>
      <c r="U128" s="39">
        <v>5.6</v>
      </c>
      <c r="V128" s="39">
        <v>39.80008</v>
      </c>
      <c r="W128" s="39">
        <v>28</v>
      </c>
      <c r="X128" s="39">
        <v>34.8</v>
      </c>
      <c r="Y128" s="39">
        <v>36</v>
      </c>
      <c r="Z128" s="41">
        <v>90.59999999999999</v>
      </c>
      <c r="AA128" s="42" cm="1">
        <f t="array" ref="AA128">Z128/1.01325</f>
        <v>89.41524796447079</v>
      </c>
      <c r="AB128" s="11"/>
      <c r="AC128" s="11"/>
      <c r="AD128" s="11"/>
      <c r="AE128" s="11"/>
      <c r="AF128" s="11"/>
      <c r="AG128" s="11"/>
      <c r="AH128" s="11"/>
      <c r="AI128" s="11"/>
      <c r="AJ128" s="11"/>
    </row>
    <row r="129" ht="15" customHeight="1">
      <c r="A129" s="46">
        <v>18</v>
      </c>
      <c r="B129" s="37">
        <v>12104</v>
      </c>
      <c r="C129" s="57">
        <v>40758.7125</v>
      </c>
      <c r="D129" s="39">
        <v>3578.3</v>
      </c>
      <c r="E129" s="39">
        <v>12.7</v>
      </c>
      <c r="F129" s="39">
        <v>195</v>
      </c>
      <c r="G129" s="39">
        <v>138</v>
      </c>
      <c r="H129" s="39">
        <v>102.205836224844</v>
      </c>
      <c r="I129" s="39">
        <v>195</v>
      </c>
      <c r="J129" s="75">
        <v>138</v>
      </c>
      <c r="K129" s="39">
        <v>103.69</v>
      </c>
      <c r="L129" s="39">
        <v>56.5</v>
      </c>
      <c r="M129" s="39">
        <v>48.4831228313671</v>
      </c>
      <c r="N129" s="39"/>
      <c r="O129" s="39">
        <v>106</v>
      </c>
      <c r="P129" s="39">
        <v>305</v>
      </c>
      <c r="Q129" s="39">
        <v>31.1</v>
      </c>
      <c r="R129" s="39">
        <v>0.4</v>
      </c>
      <c r="S129" s="39">
        <v>2726.369671993270</v>
      </c>
      <c r="T129" s="39">
        <v>47</v>
      </c>
      <c r="U129" s="39">
        <v>0.4</v>
      </c>
      <c r="V129" s="39">
        <v>39.80008</v>
      </c>
      <c r="W129" t="s" s="47">
        <v>44</v>
      </c>
      <c r="X129" s="76">
        <v>34.9</v>
      </c>
      <c r="Y129" t="s" s="47">
        <v>44</v>
      </c>
      <c r="Z129" s="41">
        <v>90</v>
      </c>
      <c r="AA129" s="42" cm="1">
        <f t="array" ref="AA129">Z129/1.01325</f>
        <v>88.8230940044412</v>
      </c>
      <c r="AB129" s="11"/>
      <c r="AC129" s="11"/>
      <c r="AD129" s="11"/>
      <c r="AE129" s="11"/>
      <c r="AF129" s="11"/>
      <c r="AG129" s="11"/>
      <c r="AH129" s="11"/>
      <c r="AI129" s="11"/>
      <c r="AJ129" s="11"/>
    </row>
    <row r="130" ht="15" customHeight="1">
      <c r="A130" s="36">
        <v>15</v>
      </c>
      <c r="B130" s="37">
        <v>12106</v>
      </c>
      <c r="C130" s="57">
        <v>39571</v>
      </c>
      <c r="D130" s="39">
        <v>3548</v>
      </c>
      <c r="E130" s="37">
        <v>9.529999999999999</v>
      </c>
      <c r="F130" s="39">
        <v>263.951625</v>
      </c>
      <c r="G130" s="39">
        <v>187.349925</v>
      </c>
      <c r="H130" s="39">
        <v>104.25988</v>
      </c>
      <c r="I130" s="39">
        <v>263.9</v>
      </c>
      <c r="J130" s="39">
        <v>184</v>
      </c>
      <c r="K130" s="39">
        <v>104.271935483871</v>
      </c>
      <c r="L130" s="39">
        <v>53</v>
      </c>
      <c r="M130" s="39">
        <v>32.8803146666667</v>
      </c>
      <c r="N130" s="39">
        <v>32.7</v>
      </c>
      <c r="O130" s="39">
        <v>108.3</v>
      </c>
      <c r="P130" s="39">
        <v>259.929183707308</v>
      </c>
      <c r="Q130" s="39">
        <v>58.989171576923</v>
      </c>
      <c r="R130" s="40">
        <v>0.726283730769231</v>
      </c>
      <c r="S130" s="39">
        <v>1960.695823331730</v>
      </c>
      <c r="T130" s="39">
        <v>72.2</v>
      </c>
      <c r="U130" s="39">
        <v>0.5</v>
      </c>
      <c r="V130" s="39">
        <v>28.8</v>
      </c>
      <c r="W130" s="39">
        <v>28.92</v>
      </c>
      <c r="X130" s="39">
        <v>50.7</v>
      </c>
      <c r="Y130" s="39">
        <v>51.2</v>
      </c>
      <c r="Z130" s="41">
        <v>86.59999999999999</v>
      </c>
      <c r="AA130" s="42" cm="1">
        <f t="array" ref="AA130">Z130/1.01325</f>
        <v>85.4675548976067</v>
      </c>
      <c r="AB130" s="11"/>
      <c r="AC130" s="11"/>
      <c r="AD130" s="11"/>
      <c r="AE130" s="11"/>
      <c r="AF130" s="11"/>
      <c r="AG130" s="11"/>
      <c r="AH130" s="11"/>
      <c r="AI130" s="11"/>
      <c r="AJ130" s="11"/>
    </row>
    <row r="131" ht="15" customHeight="1">
      <c r="A131" s="44"/>
      <c r="B131" s="37">
        <v>12106</v>
      </c>
      <c r="C131" s="57">
        <v>39574</v>
      </c>
      <c r="D131" s="39">
        <v>3548</v>
      </c>
      <c r="E131" s="39">
        <v>11.11</v>
      </c>
      <c r="F131" s="39">
        <v>257.16285</v>
      </c>
      <c r="G131" s="39">
        <v>180.96645</v>
      </c>
      <c r="H131" s="39">
        <v>107.114324734447</v>
      </c>
      <c r="I131" s="39">
        <v>256.9</v>
      </c>
      <c r="J131" s="39">
        <v>178</v>
      </c>
      <c r="K131" s="39">
        <v>107.797741935484</v>
      </c>
      <c r="L131" s="39">
        <v>57.7</v>
      </c>
      <c r="M131" s="39">
        <v>39.5365371775417</v>
      </c>
      <c r="N131" s="39">
        <v>39.3</v>
      </c>
      <c r="O131" s="39">
        <v>108.3</v>
      </c>
      <c r="P131" s="39">
        <v>326.250967914070</v>
      </c>
      <c r="Q131" s="39">
        <v>77.22301784615399</v>
      </c>
      <c r="R131" s="40">
        <v>1.22298875524475</v>
      </c>
      <c r="S131" s="39">
        <v>2524.5125524965</v>
      </c>
      <c r="T131" s="39">
        <v>89.8</v>
      </c>
      <c r="U131" s="39">
        <v>0.8</v>
      </c>
      <c r="V131" s="39">
        <v>28.8</v>
      </c>
      <c r="W131" s="39">
        <v>28.92</v>
      </c>
      <c r="X131" s="39">
        <v>50.7</v>
      </c>
      <c r="Y131" s="39">
        <v>51.2</v>
      </c>
      <c r="Z131" s="41">
        <v>90.3</v>
      </c>
      <c r="AA131" s="42" cm="1">
        <f t="array" ref="AA131">Z131/1.01325</f>
        <v>89.11917098445601</v>
      </c>
      <c r="AB131" s="11"/>
      <c r="AC131" s="11"/>
      <c r="AD131" s="11"/>
      <c r="AE131" s="11"/>
      <c r="AF131" s="11"/>
      <c r="AG131" s="11"/>
      <c r="AH131" s="11"/>
      <c r="AI131" s="11"/>
      <c r="AJ131" s="11"/>
    </row>
    <row r="132" ht="15" customHeight="1">
      <c r="A132" s="44"/>
      <c r="B132" s="37">
        <v>12106</v>
      </c>
      <c r="C132" s="57">
        <v>39575</v>
      </c>
      <c r="D132" s="39">
        <v>3548</v>
      </c>
      <c r="E132" s="39">
        <v>12.7</v>
      </c>
      <c r="F132" s="39">
        <v>248.144925</v>
      </c>
      <c r="G132" s="39">
        <v>169.8207</v>
      </c>
      <c r="H132" s="39">
        <v>109.813160919540</v>
      </c>
      <c r="I132" s="39">
        <v>248</v>
      </c>
      <c r="J132" s="39">
        <v>166</v>
      </c>
      <c r="K132" s="39">
        <v>109.072903225807</v>
      </c>
      <c r="L132" s="39">
        <v>62.5</v>
      </c>
      <c r="M132" s="39">
        <v>46.9903606321839</v>
      </c>
      <c r="N132" s="39">
        <v>46.6</v>
      </c>
      <c r="O132" s="39">
        <v>108.1</v>
      </c>
      <c r="P132" s="39">
        <v>392.922028192455</v>
      </c>
      <c r="Q132" s="39">
        <v>95.2214110479738</v>
      </c>
      <c r="R132" s="40">
        <v>3.22616238472287</v>
      </c>
      <c r="S132" s="39">
        <v>3109.248579413130</v>
      </c>
      <c r="T132" s="39">
        <v>104</v>
      </c>
      <c r="U132" s="39">
        <v>2</v>
      </c>
      <c r="V132" s="39">
        <v>28.8</v>
      </c>
      <c r="W132" s="39">
        <v>28.92</v>
      </c>
      <c r="X132" s="39">
        <v>50.7</v>
      </c>
      <c r="Y132" s="39">
        <v>51.2</v>
      </c>
      <c r="Z132" s="41">
        <v>92.40000000000001</v>
      </c>
      <c r="AA132" s="42" cm="1">
        <f t="array" ref="AA132">Z132/1.01325</f>
        <v>91.1917098445596</v>
      </c>
      <c r="AB132" s="11"/>
      <c r="AC132" s="11"/>
      <c r="AD132" s="11"/>
      <c r="AE132" s="11"/>
      <c r="AF132" s="11"/>
      <c r="AG132" s="11"/>
      <c r="AH132" s="11"/>
      <c r="AI132" s="11"/>
      <c r="AJ132" s="11"/>
    </row>
    <row r="133" ht="15" customHeight="1">
      <c r="A133" s="45"/>
      <c r="B133" s="37">
        <v>12106</v>
      </c>
      <c r="C133" s="57">
        <v>39577</v>
      </c>
      <c r="D133" s="39">
        <v>3548</v>
      </c>
      <c r="E133" s="37">
        <v>14.29</v>
      </c>
      <c r="F133" s="39">
        <v>239.73495</v>
      </c>
      <c r="G133" s="39">
        <v>159.6882</v>
      </c>
      <c r="H133" s="39">
        <v>110.402955801105</v>
      </c>
      <c r="I133" s="39">
        <v>239.4</v>
      </c>
      <c r="J133" s="39">
        <v>157</v>
      </c>
      <c r="K133" s="39">
        <v>110.112352941177</v>
      </c>
      <c r="L133" s="39">
        <v>63.7</v>
      </c>
      <c r="M133" s="39">
        <v>50.474611878453</v>
      </c>
      <c r="N133" s="39">
        <v>50.5</v>
      </c>
      <c r="O133" s="39">
        <v>108</v>
      </c>
      <c r="P133" s="39">
        <v>441.951485041875</v>
      </c>
      <c r="Q133" s="39">
        <v>106.774331691177</v>
      </c>
      <c r="R133" s="40">
        <v>2.07333496323529</v>
      </c>
      <c r="S133" s="39">
        <v>3568.022539098430</v>
      </c>
      <c r="T133" s="39">
        <v>114.8</v>
      </c>
      <c r="U133" s="39">
        <v>1.3</v>
      </c>
      <c r="V133" s="39">
        <v>28.8</v>
      </c>
      <c r="W133" s="39">
        <v>28.92</v>
      </c>
      <c r="X133" s="39">
        <v>50.7</v>
      </c>
      <c r="Y133" s="39">
        <v>51.2</v>
      </c>
      <c r="Z133" s="41">
        <v>91.2</v>
      </c>
      <c r="AA133" s="42" cm="1">
        <f t="array" ref="AA133">Z133/1.01325</f>
        <v>90.0074019245004</v>
      </c>
      <c r="AB133" s="11"/>
      <c r="AC133" s="11"/>
      <c r="AD133" s="11"/>
      <c r="AE133" s="11"/>
      <c r="AF133" s="11"/>
      <c r="AG133" s="11"/>
      <c r="AH133" s="11"/>
      <c r="AI133" s="11"/>
      <c r="AJ133" s="11"/>
    </row>
    <row r="134" ht="15" customHeight="1">
      <c r="A134" s="46">
        <v>20</v>
      </c>
      <c r="B134" s="37">
        <v>12106</v>
      </c>
      <c r="C134" s="57">
        <v>40775</v>
      </c>
      <c r="D134" s="39">
        <v>3556.3</v>
      </c>
      <c r="E134" s="39">
        <v>9.529999999999999</v>
      </c>
      <c r="F134" s="39">
        <v>175</v>
      </c>
      <c r="G134" s="39">
        <v>127</v>
      </c>
      <c r="H134" s="39">
        <v>104.624219292159</v>
      </c>
      <c r="I134" s="39">
        <v>175.4</v>
      </c>
      <c r="J134" s="39">
        <v>126</v>
      </c>
      <c r="K134" s="39">
        <v>103.78</v>
      </c>
      <c r="L134" s="39">
        <v>37</v>
      </c>
      <c r="M134" s="39">
        <v>30.5463226925746</v>
      </c>
      <c r="N134" s="39"/>
      <c r="O134" s="39">
        <v>105.7</v>
      </c>
      <c r="P134" s="39">
        <v>136.9</v>
      </c>
      <c r="Q134" s="39">
        <v>14.3</v>
      </c>
      <c r="R134" s="39">
        <v>2.2</v>
      </c>
      <c r="S134" s="39">
        <v>989.281965734895</v>
      </c>
      <c r="T134" s="39">
        <v>25</v>
      </c>
      <c r="U134" s="39">
        <v>2</v>
      </c>
      <c r="V134" s="39">
        <v>28.8</v>
      </c>
      <c r="W134" s="39">
        <v>21.06</v>
      </c>
      <c r="X134" s="39">
        <v>31.9</v>
      </c>
      <c r="Y134" t="s" s="47">
        <v>44</v>
      </c>
      <c r="Z134" s="41">
        <v>94.5</v>
      </c>
      <c r="AA134" s="42" cm="1">
        <f t="array" ref="AA134">Z134/1.01325</f>
        <v>93.2642487046632</v>
      </c>
      <c r="AB134" s="11"/>
      <c r="AC134" s="11"/>
      <c r="AD134" s="11"/>
      <c r="AE134" s="11"/>
      <c r="AF134" s="11"/>
      <c r="AG134" s="11"/>
      <c r="AH134" s="11"/>
      <c r="AI134" s="11"/>
      <c r="AJ134" s="11"/>
    </row>
    <row r="135" ht="15" customHeight="1">
      <c r="A135" s="36">
        <v>7</v>
      </c>
      <c r="B135" s="37">
        <v>12107</v>
      </c>
      <c r="C135" s="57">
        <v>39325</v>
      </c>
      <c r="D135" s="39">
        <v>3553.5</v>
      </c>
      <c r="E135" s="39">
        <v>9</v>
      </c>
      <c r="F135" s="39">
        <v>312.9</v>
      </c>
      <c r="G135" s="39">
        <v>233</v>
      </c>
      <c r="H135" s="39">
        <v>113.4</v>
      </c>
      <c r="I135" s="39">
        <v>313</v>
      </c>
      <c r="J135" s="74">
        <v>233</v>
      </c>
      <c r="K135" s="37">
        <v>113.4</v>
      </c>
      <c r="L135" s="39">
        <v>48</v>
      </c>
      <c r="M135" s="39">
        <v>32.7</v>
      </c>
      <c r="N135" s="39">
        <v>28.6</v>
      </c>
      <c r="O135" s="39">
        <v>107.31</v>
      </c>
      <c r="P135" s="39">
        <v>289.282</v>
      </c>
      <c r="Q135" s="39">
        <v>54.8</v>
      </c>
      <c r="R135" s="40">
        <v>0.4</v>
      </c>
      <c r="S135" s="39">
        <v>1965.041666666670</v>
      </c>
      <c r="T135" s="39">
        <v>96.5</v>
      </c>
      <c r="U135" s="39">
        <v>0.4</v>
      </c>
      <c r="V135" s="39">
        <v>21</v>
      </c>
      <c r="W135" s="40">
        <v>34.5</v>
      </c>
      <c r="X135" s="40">
        <v>48.8</v>
      </c>
      <c r="Y135" s="40">
        <v>46.8</v>
      </c>
      <c r="Z135" s="41">
        <v>75.40000000000001</v>
      </c>
      <c r="AA135" s="42" cm="1">
        <f t="array" ref="AA135">Z135/1.01325</f>
        <v>74.4140143103874</v>
      </c>
      <c r="AB135" s="49" cm="1">
        <f t="array" ref="AB135">AE135*1.204</f>
        <v>0.813904</v>
      </c>
      <c r="AC135" s="49">
        <v>778</v>
      </c>
      <c r="AD135" s="49">
        <v>1000</v>
      </c>
      <c r="AE135" s="49">
        <v>0.676</v>
      </c>
      <c r="AF135" s="49" cm="1">
        <f t="array" ref="AF135">(AB135*P135*1000+AC135*Q135+R135*AD135)/24/3600</f>
        <v>3.22317334407407</v>
      </c>
      <c r="AG135" s="49" cm="1">
        <f t="array" ref="AG135">AH135*1000</f>
        <v>147.3532</v>
      </c>
      <c r="AH135" s="49">
        <v>0.1473532</v>
      </c>
      <c r="AI135" s="11"/>
      <c r="AJ135" s="11"/>
    </row>
    <row r="136" ht="15" customHeight="1">
      <c r="A136" s="44"/>
      <c r="B136" s="37">
        <v>12107</v>
      </c>
      <c r="C136" s="57">
        <v>39325</v>
      </c>
      <c r="D136" s="39">
        <v>3553.5</v>
      </c>
      <c r="E136" s="39">
        <v>9.529999999999999</v>
      </c>
      <c r="F136" s="39">
        <v>309.7</v>
      </c>
      <c r="G136" s="39">
        <v>228</v>
      </c>
      <c r="H136" s="39">
        <v>102.6</v>
      </c>
      <c r="I136" s="39">
        <v>309.8</v>
      </c>
      <c r="J136" s="74">
        <v>228</v>
      </c>
      <c r="K136" s="37">
        <v>102.5</v>
      </c>
      <c r="L136" s="39">
        <v>50</v>
      </c>
      <c r="M136" s="39">
        <v>31.9</v>
      </c>
      <c r="N136" s="39">
        <v>33.7</v>
      </c>
      <c r="O136" s="39">
        <v>107.31</v>
      </c>
      <c r="P136" s="39">
        <v>314.441</v>
      </c>
      <c r="Q136" s="39">
        <v>54.4</v>
      </c>
      <c r="R136" s="40">
        <v>0.3</v>
      </c>
      <c r="S136" s="39">
        <v>2215.428940568480</v>
      </c>
      <c r="T136" s="39">
        <v>93.9875968992249</v>
      </c>
      <c r="U136" s="39">
        <v>0.3</v>
      </c>
      <c r="V136" s="39">
        <v>21</v>
      </c>
      <c r="W136" s="40">
        <v>34.5</v>
      </c>
      <c r="X136" s="40">
        <v>48.8</v>
      </c>
      <c r="Y136" s="40">
        <v>46.8</v>
      </c>
      <c r="Z136" s="41">
        <v>75.40000000000001</v>
      </c>
      <c r="AA136" s="42" cm="1">
        <f t="array" ref="AA136">Z136/1.01325</f>
        <v>74.4140143103874</v>
      </c>
      <c r="AB136" s="49" cm="1">
        <f t="array" ref="AB136">AE136*1.204</f>
        <v>0.813904</v>
      </c>
      <c r="AC136" s="49">
        <v>778</v>
      </c>
      <c r="AD136" s="49">
        <v>1000</v>
      </c>
      <c r="AE136" s="49">
        <v>0.676</v>
      </c>
      <c r="AF136" s="49" cm="1">
        <f t="array" ref="AF136">(AB136*P136*1000+AC136*Q136+R136*AD136)/24/3600</f>
        <v>3.45541652388889</v>
      </c>
      <c r="AG136" s="49" cm="1">
        <f t="array" ref="AG136">AH136*1000</f>
        <v>134.594</v>
      </c>
      <c r="AH136" s="49">
        <v>0.134594</v>
      </c>
      <c r="AI136" s="11"/>
      <c r="AJ136" s="11"/>
    </row>
    <row r="137" ht="15" customHeight="1">
      <c r="A137" s="44"/>
      <c r="B137" s="37">
        <v>12107</v>
      </c>
      <c r="C137" s="57">
        <v>39326</v>
      </c>
      <c r="D137" s="39">
        <v>3553.5</v>
      </c>
      <c r="E137" s="39">
        <v>11.11</v>
      </c>
      <c r="F137" s="39">
        <v>302.1</v>
      </c>
      <c r="G137" s="39">
        <v>217.6</v>
      </c>
      <c r="H137" s="39">
        <v>104.5</v>
      </c>
      <c r="I137" s="39">
        <v>303</v>
      </c>
      <c r="J137" s="74">
        <v>217</v>
      </c>
      <c r="K137" s="37">
        <v>105</v>
      </c>
      <c r="L137" s="39">
        <v>53</v>
      </c>
      <c r="M137" s="39">
        <v>38.9</v>
      </c>
      <c r="N137" s="39">
        <v>38.3</v>
      </c>
      <c r="O137" s="39">
        <v>107.3</v>
      </c>
      <c r="P137" s="39">
        <v>399.583</v>
      </c>
      <c r="Q137" s="39">
        <v>64.40000000000001</v>
      </c>
      <c r="R137" s="40">
        <v>0.3</v>
      </c>
      <c r="S137" s="39">
        <v>3158.333600641540</v>
      </c>
      <c r="T137" s="39">
        <v>109.365196471532</v>
      </c>
      <c r="U137" s="39">
        <v>0.3</v>
      </c>
      <c r="V137" s="39">
        <v>21</v>
      </c>
      <c r="W137" s="40">
        <v>34.5</v>
      </c>
      <c r="X137" s="40">
        <v>48.8</v>
      </c>
      <c r="Y137" s="40">
        <v>46.8</v>
      </c>
      <c r="Z137" s="41">
        <v>83.40000000000001</v>
      </c>
      <c r="AA137" s="42" cm="1">
        <f t="array" ref="AA137">Z137/1.01325</f>
        <v>82.3094004441155</v>
      </c>
      <c r="AB137" s="49" cm="1">
        <f t="array" ref="AB137">AE137*1.204</f>
        <v>0.813904</v>
      </c>
      <c r="AC137" s="49">
        <v>778</v>
      </c>
      <c r="AD137" s="49">
        <v>1000</v>
      </c>
      <c r="AE137" s="49">
        <v>0.676</v>
      </c>
      <c r="AF137" s="49" cm="1">
        <f t="array" ref="AF137">(AB137*P137*1000+AC137*Q137+R137*AD137)/24/3600</f>
        <v>4.34751622722222</v>
      </c>
      <c r="AG137" s="49" cm="1">
        <f t="array" ref="AG137">AH137*1000</f>
        <v>125.4136</v>
      </c>
      <c r="AH137" s="49">
        <v>0.1254136</v>
      </c>
      <c r="AI137" s="11"/>
      <c r="AJ137" s="11"/>
    </row>
    <row r="138" ht="15" customHeight="1">
      <c r="A138" s="44"/>
      <c r="B138" s="37">
        <v>12107</v>
      </c>
      <c r="C138" s="57">
        <v>39327</v>
      </c>
      <c r="D138" s="39">
        <v>3553.5</v>
      </c>
      <c r="E138" s="39">
        <v>12.7</v>
      </c>
      <c r="F138" s="39">
        <v>292.8</v>
      </c>
      <c r="G138" s="39">
        <v>202</v>
      </c>
      <c r="H138" s="39">
        <v>107.6</v>
      </c>
      <c r="I138" s="39">
        <v>292.9</v>
      </c>
      <c r="J138" s="74">
        <v>202</v>
      </c>
      <c r="K138" s="37">
        <v>107.5</v>
      </c>
      <c r="L138" s="39">
        <v>56</v>
      </c>
      <c r="M138" s="39">
        <v>45.1</v>
      </c>
      <c r="N138" s="39">
        <v>44.8</v>
      </c>
      <c r="O138" s="39">
        <v>107.22</v>
      </c>
      <c r="P138" s="39">
        <v>483.431</v>
      </c>
      <c r="Q138" s="39">
        <v>75.40000000000001</v>
      </c>
      <c r="R138" s="40">
        <v>1.3</v>
      </c>
      <c r="S138" s="39">
        <v>3869.197097020630</v>
      </c>
      <c r="T138" s="39">
        <v>128.258747135218</v>
      </c>
      <c r="U138" s="39">
        <v>1.29541634835753</v>
      </c>
      <c r="V138" s="39">
        <v>21</v>
      </c>
      <c r="W138" s="40">
        <v>34.5</v>
      </c>
      <c r="X138" s="40">
        <v>48.8</v>
      </c>
      <c r="Y138" s="40">
        <v>46.8</v>
      </c>
      <c r="Z138" s="41">
        <v>85.40000000000001</v>
      </c>
      <c r="AA138" s="42" cm="1">
        <f t="array" ref="AA138">Z138/1.01325</f>
        <v>84.28324697754751</v>
      </c>
      <c r="AB138" s="49" cm="1">
        <f t="array" ref="AB138">AE138*1.204</f>
        <v>0.813904</v>
      </c>
      <c r="AC138" s="49">
        <v>778</v>
      </c>
      <c r="AD138" s="49">
        <v>1000</v>
      </c>
      <c r="AE138" s="49">
        <v>0.676</v>
      </c>
      <c r="AF138" s="49" cm="1">
        <f t="array" ref="AF138">(AB138*P138*1000+AC138*Q138+R138*AD138)/24/3600</f>
        <v>5.24800491462963</v>
      </c>
      <c r="AG138" s="49" cm="1">
        <f t="array" ref="AG138">AH138*1000</f>
        <v>121.368</v>
      </c>
      <c r="AH138" s="49">
        <v>0.121368</v>
      </c>
      <c r="AI138" s="11"/>
      <c r="AJ138" s="11"/>
    </row>
    <row r="139" ht="15" customHeight="1">
      <c r="A139" s="45"/>
      <c r="B139" s="37">
        <v>12107</v>
      </c>
      <c r="C139" s="57">
        <v>39328</v>
      </c>
      <c r="D139" s="39">
        <v>3553.5</v>
      </c>
      <c r="E139" s="39">
        <v>14.3</v>
      </c>
      <c r="F139" s="39">
        <v>282.9</v>
      </c>
      <c r="G139" s="39">
        <v>189.6</v>
      </c>
      <c r="H139" s="39">
        <v>107.8</v>
      </c>
      <c r="I139" s="39">
        <v>283.1</v>
      </c>
      <c r="J139" s="74">
        <v>189</v>
      </c>
      <c r="K139" s="37">
        <v>108</v>
      </c>
      <c r="L139" s="39">
        <v>61</v>
      </c>
      <c r="M139" s="39">
        <v>49.2</v>
      </c>
      <c r="N139" s="39">
        <v>48.9</v>
      </c>
      <c r="O139" s="39">
        <v>107.09</v>
      </c>
      <c r="P139" s="39">
        <v>548.093</v>
      </c>
      <c r="Q139" s="39">
        <v>84.3</v>
      </c>
      <c r="R139" s="40">
        <v>2.6</v>
      </c>
      <c r="S139" s="39">
        <v>4505.446391030130</v>
      </c>
      <c r="T139" s="39">
        <v>141</v>
      </c>
      <c r="U139" s="39">
        <v>2.6</v>
      </c>
      <c r="V139" s="39">
        <v>21</v>
      </c>
      <c r="W139" s="40">
        <v>34.5</v>
      </c>
      <c r="X139" s="40">
        <v>48.8</v>
      </c>
      <c r="Y139" s="40">
        <v>46.8</v>
      </c>
      <c r="Z139" s="41">
        <v>86</v>
      </c>
      <c r="AA139" s="42" cm="1">
        <f t="array" ref="AA139">Z139/1.01325</f>
        <v>84.8754009375771</v>
      </c>
      <c r="AB139" s="49" cm="1">
        <f t="array" ref="AB139">AE139*1.204</f>
        <v>0.813904</v>
      </c>
      <c r="AC139" s="49">
        <v>775</v>
      </c>
      <c r="AD139" s="49">
        <v>1000</v>
      </c>
      <c r="AE139" s="49">
        <v>0.676</v>
      </c>
      <c r="AF139" s="49" cm="1">
        <f t="array" ref="AF139">(AB139*P139*1000+AC139*Q139+R139*AD139)/24/3600</f>
        <v>5.94939334574074</v>
      </c>
      <c r="AG139" s="49" cm="1">
        <f t="array" ref="AG139">AH139*1000</f>
        <v>119.195</v>
      </c>
      <c r="AH139" s="49">
        <v>0.119195</v>
      </c>
      <c r="AI139" s="11"/>
      <c r="AJ139" s="11"/>
    </row>
    <row r="140" ht="15" customHeight="1">
      <c r="A140" s="36">
        <v>16</v>
      </c>
      <c r="B140" s="37">
        <v>12107</v>
      </c>
      <c r="C140" s="57">
        <v>39552</v>
      </c>
      <c r="D140" s="39">
        <v>3561</v>
      </c>
      <c r="E140" s="37">
        <v>9.529999999999999</v>
      </c>
      <c r="F140" s="39">
        <v>289.688175</v>
      </c>
      <c r="G140" s="39">
        <v>205.68975</v>
      </c>
      <c r="H140" s="39">
        <v>101.9</v>
      </c>
      <c r="I140" s="39">
        <v>289.7</v>
      </c>
      <c r="J140" s="74">
        <v>204</v>
      </c>
      <c r="K140" s="37">
        <v>101.9</v>
      </c>
      <c r="L140" s="39">
        <v>52.7</v>
      </c>
      <c r="M140" s="39">
        <v>30.1</v>
      </c>
      <c r="N140" s="39">
        <v>29.7</v>
      </c>
      <c r="O140" s="39">
        <v>107.4</v>
      </c>
      <c r="P140" s="39">
        <v>276.527592353542</v>
      </c>
      <c r="Q140" s="39">
        <v>90.464549375</v>
      </c>
      <c r="R140" s="40">
        <v>0.158472708333333</v>
      </c>
      <c r="S140" s="39">
        <v>2222.884548611110</v>
      </c>
      <c r="T140" s="39">
        <v>82.5</v>
      </c>
      <c r="U140" s="39">
        <v>0.1</v>
      </c>
      <c r="V140" s="39">
        <v>21</v>
      </c>
      <c r="W140" s="40">
        <v>32.45</v>
      </c>
      <c r="X140" s="78">
        <v>42.85</v>
      </c>
      <c r="Y140" s="78">
        <v>42.65</v>
      </c>
      <c r="Z140" s="41">
        <v>87.09999999999999</v>
      </c>
      <c r="AA140" s="42" cm="1">
        <f t="array" ref="AA140">Z140/1.01325</f>
        <v>85.9610165309647</v>
      </c>
      <c r="AB140" s="49" cm="1">
        <f t="array" ref="AB140">AE140*1.204</f>
        <v>0.827148</v>
      </c>
      <c r="AC140" s="49">
        <v>775</v>
      </c>
      <c r="AD140" s="49">
        <v>1000</v>
      </c>
      <c r="AE140" s="49">
        <v>0.6870000000000001</v>
      </c>
      <c r="AF140" s="49" cm="1">
        <f t="array" ref="AF140">(AB140*P140*1000+AC140*Q140+R140*AD140)/24/3600</f>
        <v>3.46062203048618</v>
      </c>
      <c r="AG140" s="49" cm="1">
        <f t="array" ref="AG140">AH140*1000</f>
        <v>127.6425</v>
      </c>
      <c r="AH140" s="49">
        <v>0.1276425</v>
      </c>
      <c r="AI140" s="11"/>
      <c r="AJ140" s="11"/>
    </row>
    <row r="141" ht="15" customHeight="1">
      <c r="A141" s="44"/>
      <c r="B141" s="37">
        <v>12107</v>
      </c>
      <c r="C141" s="57">
        <v>39553</v>
      </c>
      <c r="D141" s="39">
        <v>3561</v>
      </c>
      <c r="E141" s="39">
        <v>11.11</v>
      </c>
      <c r="F141" s="39">
        <v>289.688175</v>
      </c>
      <c r="G141" s="39">
        <v>201.108097826087</v>
      </c>
      <c r="H141" s="39">
        <v>104.5</v>
      </c>
      <c r="I141" s="39">
        <v>283</v>
      </c>
      <c r="J141" s="74">
        <v>199</v>
      </c>
      <c r="K141" s="37">
        <v>104.7</v>
      </c>
      <c r="L141" s="39">
        <v>58.6</v>
      </c>
      <c r="M141" s="39">
        <v>38.2</v>
      </c>
      <c r="N141" s="39">
        <v>37.3</v>
      </c>
      <c r="O141" s="39">
        <v>107.1</v>
      </c>
      <c r="P141" s="39">
        <v>349.478687389566</v>
      </c>
      <c r="Q141" s="39">
        <v>119.062536431784</v>
      </c>
      <c r="R141" s="40">
        <v>0.208927556221889</v>
      </c>
      <c r="S141" s="39">
        <v>2925.874530428250</v>
      </c>
      <c r="T141" s="39">
        <v>100.3</v>
      </c>
      <c r="U141" s="39">
        <v>0.1</v>
      </c>
      <c r="V141" s="39">
        <v>21</v>
      </c>
      <c r="W141" s="40">
        <v>32.45</v>
      </c>
      <c r="X141" s="78">
        <v>42.85</v>
      </c>
      <c r="Y141" s="78">
        <v>42.65</v>
      </c>
      <c r="Z141" s="41">
        <v>87.7</v>
      </c>
      <c r="AA141" s="42" cm="1">
        <f t="array" ref="AA141">Z141/1.01325</f>
        <v>86.5531704909943</v>
      </c>
      <c r="AB141" s="49" cm="1">
        <f t="array" ref="AB141">AE141*1.204</f>
        <v>0.827148</v>
      </c>
      <c r="AC141" s="49">
        <v>775</v>
      </c>
      <c r="AD141" s="49">
        <v>1000</v>
      </c>
      <c r="AE141" s="49">
        <v>0.6870000000000001</v>
      </c>
      <c r="AF141" s="49" cm="1">
        <f t="array" ref="AF141">(AB141*P141*1000+AC141*Q141+R141*AD141)/24/3600</f>
        <v>4.41612257647869</v>
      </c>
      <c r="AG141" s="49" cm="1">
        <f t="array" ref="AG141">AH141*1000</f>
        <v>121.9075</v>
      </c>
      <c r="AH141" s="49">
        <v>0.1219075</v>
      </c>
      <c r="AI141" s="11"/>
      <c r="AJ141" s="11"/>
    </row>
    <row r="142" ht="15" customHeight="1">
      <c r="A142" s="44"/>
      <c r="B142" s="37">
        <v>12107</v>
      </c>
      <c r="C142" s="57">
        <v>39554</v>
      </c>
      <c r="D142" s="39">
        <v>3561</v>
      </c>
      <c r="E142" s="39">
        <v>12.7</v>
      </c>
      <c r="F142" s="39">
        <v>274.489425</v>
      </c>
      <c r="G142" s="39">
        <v>188.860989130435</v>
      </c>
      <c r="H142" s="39">
        <v>107.3</v>
      </c>
      <c r="I142" s="39">
        <v>274.6</v>
      </c>
      <c r="J142" s="74">
        <v>185</v>
      </c>
      <c r="K142" s="37">
        <v>107.2</v>
      </c>
      <c r="L142" s="39">
        <v>62.6</v>
      </c>
      <c r="M142" s="39">
        <v>45.5</v>
      </c>
      <c r="N142" s="39">
        <v>44.4</v>
      </c>
      <c r="O142" s="39">
        <v>106.6</v>
      </c>
      <c r="P142" s="39">
        <v>420.465953887049</v>
      </c>
      <c r="Q142" s="39">
        <v>150.406342661710</v>
      </c>
      <c r="R142" s="40">
        <v>0.795786468401487</v>
      </c>
      <c r="S142" s="39">
        <v>3598.969494047620</v>
      </c>
      <c r="T142" s="39">
        <v>126.7</v>
      </c>
      <c r="U142" s="39">
        <v>0.4</v>
      </c>
      <c r="V142" s="39">
        <v>21</v>
      </c>
      <c r="W142" s="40">
        <v>32.45</v>
      </c>
      <c r="X142" s="78">
        <v>42.85</v>
      </c>
      <c r="Y142" s="78">
        <v>42.65</v>
      </c>
      <c r="Z142" s="41">
        <v>89.3</v>
      </c>
      <c r="AA142" s="42" cm="1">
        <f t="array" ref="AA142">Z142/1.01325</f>
        <v>88.1322477177399</v>
      </c>
      <c r="AB142" s="49" cm="1">
        <f t="array" ref="AB142">AE142*1.204</f>
        <v>0.827148</v>
      </c>
      <c r="AC142" s="49">
        <v>775</v>
      </c>
      <c r="AD142" s="49">
        <v>1000</v>
      </c>
      <c r="AE142" s="49">
        <v>0.6870000000000001</v>
      </c>
      <c r="AF142" s="49" cm="1">
        <f t="array" ref="AF142">(AB142*P142*1000+AC142*Q142+R142*AD142)/24/3600</f>
        <v>5.38366058862259</v>
      </c>
      <c r="AG142" s="49" cm="1">
        <f t="array" ref="AG142">(AG141+AG143)/2</f>
        <v>117.7225</v>
      </c>
      <c r="AH142" s="49">
        <v>0.1285725</v>
      </c>
      <c r="AI142" s="11"/>
      <c r="AJ142" s="11"/>
    </row>
    <row r="143" ht="15" customHeight="1">
      <c r="A143" s="45"/>
      <c r="B143" s="37">
        <v>12107</v>
      </c>
      <c r="C143" s="57">
        <v>39555</v>
      </c>
      <c r="D143" s="39">
        <v>3561</v>
      </c>
      <c r="E143" s="37">
        <v>14.29</v>
      </c>
      <c r="F143" s="39">
        <v>265.978125</v>
      </c>
      <c r="G143" s="39">
        <v>177.410863636364</v>
      </c>
      <c r="H143" s="39">
        <v>109.8</v>
      </c>
      <c r="I143" s="39">
        <v>266</v>
      </c>
      <c r="J143" s="74">
        <v>174</v>
      </c>
      <c r="K143" s="37">
        <v>110.4</v>
      </c>
      <c r="L143" s="39">
        <v>66</v>
      </c>
      <c r="M143" s="39">
        <v>50.5</v>
      </c>
      <c r="N143" s="39">
        <v>49.9</v>
      </c>
      <c r="O143" s="39">
        <v>106.07</v>
      </c>
      <c r="P143" s="39">
        <v>475.311685011390</v>
      </c>
      <c r="Q143" s="39">
        <v>173.026439375465</v>
      </c>
      <c r="R143" s="40">
        <v>0.611901858736059</v>
      </c>
      <c r="S143" s="39">
        <v>4122.157738095240</v>
      </c>
      <c r="T143" s="39">
        <v>140.3</v>
      </c>
      <c r="U143" s="39">
        <v>0.3</v>
      </c>
      <c r="V143" s="39">
        <v>21</v>
      </c>
      <c r="W143" s="40">
        <v>32.45</v>
      </c>
      <c r="X143" s="78">
        <v>42.85</v>
      </c>
      <c r="Y143" s="78">
        <v>42.65</v>
      </c>
      <c r="Z143" s="41">
        <v>90.7</v>
      </c>
      <c r="AA143" s="42" cm="1">
        <f t="array" ref="AA143">Z143/1.01325</f>
        <v>89.5139402911424</v>
      </c>
      <c r="AB143" s="49" cm="1">
        <f t="array" ref="AB143">AE143*1.204</f>
        <v>0.827148</v>
      </c>
      <c r="AC143" s="79">
        <v>775</v>
      </c>
      <c r="AD143" s="49">
        <v>1000</v>
      </c>
      <c r="AE143" s="49">
        <v>0.6870000000000001</v>
      </c>
      <c r="AF143" s="49" cm="1">
        <f t="array" ref="AF143">(AB143*P143*1000+AC143*Q143+R143*AD143)/24/3600</f>
        <v>6.10949655102457</v>
      </c>
      <c r="AG143" s="49">
        <v>113.5375</v>
      </c>
      <c r="AH143" s="49">
        <v>0.1253175</v>
      </c>
      <c r="AI143" s="11"/>
      <c r="AJ143" s="11"/>
    </row>
    <row r="144" ht="15" customHeight="1">
      <c r="A144" s="36">
        <v>10</v>
      </c>
      <c r="B144" s="37">
        <v>12107</v>
      </c>
      <c r="C144" s="57">
        <v>40340</v>
      </c>
      <c r="D144" s="39">
        <v>3562.3</v>
      </c>
      <c r="E144" s="37">
        <v>7.94</v>
      </c>
      <c r="F144" s="39">
        <v>234</v>
      </c>
      <c r="G144" s="39">
        <v>174</v>
      </c>
      <c r="H144" s="39">
        <v>108.4</v>
      </c>
      <c r="I144" s="39">
        <v>234</v>
      </c>
      <c r="J144" s="75">
        <v>174</v>
      </c>
      <c r="K144" s="37">
        <v>109.6</v>
      </c>
      <c r="L144" s="39">
        <v>35</v>
      </c>
      <c r="M144" s="39">
        <v>26.2</v>
      </c>
      <c r="N144" s="39">
        <v>27</v>
      </c>
      <c r="O144" s="39">
        <v>106.5</v>
      </c>
      <c r="P144" s="39">
        <v>160.074</v>
      </c>
      <c r="Q144" s="39">
        <v>25.1</v>
      </c>
      <c r="R144" s="40">
        <v>0.1</v>
      </c>
      <c r="S144" s="39">
        <v>1131.003129890450</v>
      </c>
      <c r="T144" s="39">
        <v>44</v>
      </c>
      <c r="U144" s="39">
        <v>0.1</v>
      </c>
      <c r="V144" s="39">
        <v>21</v>
      </c>
      <c r="W144" s="78">
        <v>28.34</v>
      </c>
      <c r="X144" s="40">
        <v>36.9</v>
      </c>
      <c r="Y144" s="40">
        <v>38.5</v>
      </c>
      <c r="Z144" s="41">
        <v>96.09999999999999</v>
      </c>
      <c r="AA144" s="42" cm="1">
        <f t="array" ref="AA144">Z144/1.01325</f>
        <v>94.8433259314088</v>
      </c>
      <c r="AB144" s="58" cm="1">
        <f t="array" ref="AB144">AE144*1.204</f>
        <v>0.807884</v>
      </c>
      <c r="AC144" s="80">
        <v>764.2</v>
      </c>
      <c r="AD144" s="60">
        <v>1000</v>
      </c>
      <c r="AE144" s="49">
        <v>0.671</v>
      </c>
      <c r="AF144" s="49" cm="1">
        <f t="array" ref="AF144">(AB144*P144*1000+AC144*Q144+R144*AD144)/24/3600</f>
        <v>1.7199380025</v>
      </c>
      <c r="AG144" s="49" cm="1">
        <f t="array" ref="AG144">AH144*1000</f>
        <v>119.82656</v>
      </c>
      <c r="AH144" s="79">
        <v>0.11982656</v>
      </c>
      <c r="AI144" s="11"/>
      <c r="AJ144" s="11"/>
    </row>
    <row r="145" ht="15" customHeight="1">
      <c r="A145" s="44"/>
      <c r="B145" s="37">
        <v>12107</v>
      </c>
      <c r="C145" s="57">
        <v>40344</v>
      </c>
      <c r="D145" s="39">
        <v>3562.3</v>
      </c>
      <c r="E145" s="39">
        <v>9.529999999999999</v>
      </c>
      <c r="F145" s="39">
        <v>230.5</v>
      </c>
      <c r="G145" s="39">
        <v>170</v>
      </c>
      <c r="H145" s="39">
        <v>112.5</v>
      </c>
      <c r="I145" s="39">
        <v>230.5</v>
      </c>
      <c r="J145" s="75">
        <v>170</v>
      </c>
      <c r="K145" s="37">
        <v>112.5</v>
      </c>
      <c r="L145" s="39">
        <v>48</v>
      </c>
      <c r="M145" s="39">
        <v>36.1</v>
      </c>
      <c r="N145" s="39">
        <v>33.1</v>
      </c>
      <c r="O145" s="39">
        <v>106.5</v>
      </c>
      <c r="P145" s="39">
        <v>217.042</v>
      </c>
      <c r="Q145" s="39">
        <v>30.5</v>
      </c>
      <c r="R145" s="40">
        <v>2</v>
      </c>
      <c r="S145" s="39">
        <v>1587.229224860340</v>
      </c>
      <c r="T145" s="39">
        <v>54</v>
      </c>
      <c r="U145" s="39">
        <v>2</v>
      </c>
      <c r="V145" s="39">
        <v>21</v>
      </c>
      <c r="W145" s="78">
        <v>28.34</v>
      </c>
      <c r="X145" s="40">
        <v>36.9</v>
      </c>
      <c r="Y145" s="40">
        <v>38.5</v>
      </c>
      <c r="Z145" s="41">
        <v>97.90000000000001</v>
      </c>
      <c r="AA145" s="42" cm="1">
        <f t="array" ref="AA145">Z145/1.01325</f>
        <v>96.6197878114977</v>
      </c>
      <c r="AB145" s="58" cm="1">
        <f t="array" ref="AB145">AE145*1.204</f>
        <v>0.807884</v>
      </c>
      <c r="AC145" s="80">
        <v>764.2</v>
      </c>
      <c r="AD145" s="60">
        <v>1000</v>
      </c>
      <c r="AE145" s="49">
        <v>0.671</v>
      </c>
      <c r="AF145" s="49" cm="1">
        <f t="array" ref="AF145">(AB145*P145*1000+AC145*Q145+R145*AD145)/24/3600</f>
        <v>2.32237105472222</v>
      </c>
      <c r="AG145" s="61" cm="1">
        <f t="array" ref="AG145">AH145*1000</f>
        <v>107.3701</v>
      </c>
      <c r="AH145" s="81">
        <v>0.1073701</v>
      </c>
      <c r="AI145" s="63"/>
      <c r="AJ145" s="11"/>
    </row>
    <row r="146" ht="15" customHeight="1">
      <c r="A146" s="44"/>
      <c r="B146" s="37">
        <v>12107</v>
      </c>
      <c r="C146" s="57">
        <v>40348</v>
      </c>
      <c r="D146" s="39">
        <v>3562.3</v>
      </c>
      <c r="E146" s="39">
        <v>11.11</v>
      </c>
      <c r="F146" s="39">
        <v>223.3</v>
      </c>
      <c r="G146" s="39">
        <v>162</v>
      </c>
      <c r="H146" s="39">
        <v>111.8</v>
      </c>
      <c r="I146" s="39">
        <v>223.3</v>
      </c>
      <c r="J146" s="75">
        <v>162</v>
      </c>
      <c r="K146" s="37">
        <v>112.2</v>
      </c>
      <c r="L146" s="39">
        <v>53</v>
      </c>
      <c r="M146" s="39">
        <v>42.8</v>
      </c>
      <c r="N146" s="39">
        <v>40</v>
      </c>
      <c r="O146" s="39">
        <v>106.4</v>
      </c>
      <c r="P146" s="39">
        <v>270.887</v>
      </c>
      <c r="Q146" s="39">
        <v>30.4</v>
      </c>
      <c r="R146" s="40">
        <v>6.1</v>
      </c>
      <c r="S146" s="39">
        <v>2018.957431960920</v>
      </c>
      <c r="T146" s="39">
        <v>54.2</v>
      </c>
      <c r="U146" s="39">
        <v>6.3</v>
      </c>
      <c r="V146" s="39">
        <v>21</v>
      </c>
      <c r="W146" s="78">
        <v>28.34</v>
      </c>
      <c r="X146" s="40">
        <v>36.9</v>
      </c>
      <c r="Y146" s="40">
        <v>38.5</v>
      </c>
      <c r="Z146" s="41">
        <v>101.3</v>
      </c>
      <c r="AA146" s="42" cm="1">
        <f t="array" ref="AA146">Z146/1.01325</f>
        <v>99.9753269183321</v>
      </c>
      <c r="AB146" s="58" cm="1">
        <f t="array" ref="AB146">AE146*1.204</f>
        <v>0.807884</v>
      </c>
      <c r="AC146" s="80">
        <v>768.6</v>
      </c>
      <c r="AD146" s="60">
        <v>1000</v>
      </c>
      <c r="AE146" s="49">
        <v>0.671</v>
      </c>
      <c r="AF146" s="49" cm="1">
        <f t="array" ref="AF146">(AB146*P146*1000+AC146*Q146+R146*AD146)/24/3600</f>
        <v>2.87396658689815</v>
      </c>
      <c r="AG146" s="61" cm="1">
        <f t="array" ref="AG146">AH146*1000</f>
        <v>86.23692</v>
      </c>
      <c r="AH146" s="81">
        <v>0.08623691999999999</v>
      </c>
      <c r="AI146" s="63"/>
      <c r="AJ146" s="11"/>
    </row>
    <row r="147" ht="15" customHeight="1">
      <c r="A147" s="45"/>
      <c r="B147" s="37">
        <v>12107</v>
      </c>
      <c r="C147" s="57">
        <v>40352</v>
      </c>
      <c r="D147" s="39">
        <v>3562.3</v>
      </c>
      <c r="E147" s="37">
        <v>12.7</v>
      </c>
      <c r="F147" s="39">
        <v>215.3</v>
      </c>
      <c r="G147" s="39">
        <v>155</v>
      </c>
      <c r="H147" s="39">
        <v>114.1</v>
      </c>
      <c r="I147" s="39">
        <v>215.3</v>
      </c>
      <c r="J147" s="75">
        <v>155</v>
      </c>
      <c r="K147" s="37">
        <v>109.9</v>
      </c>
      <c r="L147" s="39">
        <v>55</v>
      </c>
      <c r="M147" s="39">
        <v>46.3</v>
      </c>
      <c r="N147" s="39">
        <v>46</v>
      </c>
      <c r="O147" s="39">
        <v>106.3</v>
      </c>
      <c r="P147" s="39">
        <v>301.46</v>
      </c>
      <c r="Q147" s="39">
        <v>28.9</v>
      </c>
      <c r="R147" s="40">
        <v>8</v>
      </c>
      <c r="S147" s="39">
        <v>2351.458061189410</v>
      </c>
      <c r="T147" s="39">
        <v>51.6</v>
      </c>
      <c r="U147" s="39">
        <v>8.4</v>
      </c>
      <c r="V147" s="39">
        <v>21</v>
      </c>
      <c r="W147" s="78">
        <v>28.34</v>
      </c>
      <c r="X147" s="40">
        <v>36.9</v>
      </c>
      <c r="Y147" s="40">
        <v>38.5</v>
      </c>
      <c r="Z147" s="41">
        <v>95.2</v>
      </c>
      <c r="AA147" s="42" cm="1">
        <f t="array" ref="AA147">Z147/1.01325</f>
        <v>93.9550949913644</v>
      </c>
      <c r="AB147" s="58" cm="1">
        <f t="array" ref="AB147">AE147*1.204</f>
        <v>0.807884</v>
      </c>
      <c r="AC147" s="82">
        <v>768.6</v>
      </c>
      <c r="AD147" s="60">
        <v>1000</v>
      </c>
      <c r="AE147" s="49">
        <v>0.671</v>
      </c>
      <c r="AF147" s="49" cm="1">
        <f t="array" ref="AF147">(AB147*P147*1000+AC147*Q147+R147*AD147)/24/3600</f>
        <v>3.16848669722222</v>
      </c>
      <c r="AG147" s="61" cm="1">
        <f t="array" ref="AG147">AH147*1000</f>
        <v>73.70874000000001</v>
      </c>
      <c r="AH147" s="83">
        <v>0.07370873999999999</v>
      </c>
      <c r="AI147" s="63"/>
      <c r="AJ147" s="11"/>
    </row>
    <row r="148" ht="15.75" customHeight="1">
      <c r="A148" s="46">
        <v>21</v>
      </c>
      <c r="B148" s="37">
        <v>12107</v>
      </c>
      <c r="C148" s="57">
        <v>40826</v>
      </c>
      <c r="D148" s="39">
        <v>3494.8</v>
      </c>
      <c r="E148" s="39">
        <v>11.11</v>
      </c>
      <c r="F148" s="39">
        <v>193</v>
      </c>
      <c r="G148" s="39">
        <v>139</v>
      </c>
      <c r="H148" s="39">
        <v>109.310909943715</v>
      </c>
      <c r="I148" s="39">
        <v>196</v>
      </c>
      <c r="J148" s="75">
        <v>139</v>
      </c>
      <c r="K148" s="74">
        <v>111.06</v>
      </c>
      <c r="L148" s="39">
        <v>46</v>
      </c>
      <c r="M148" s="39">
        <v>39.8273527204503</v>
      </c>
      <c r="N148" s="39"/>
      <c r="O148" s="39">
        <v>104.6</v>
      </c>
      <c r="P148" s="39">
        <v>204.4</v>
      </c>
      <c r="Q148" s="39">
        <v>25.5</v>
      </c>
      <c r="R148" s="39">
        <v>3.5</v>
      </c>
      <c r="S148" s="39">
        <v>1565.057049683490</v>
      </c>
      <c r="T148" s="39">
        <v>46.5</v>
      </c>
      <c r="U148" s="39">
        <v>3</v>
      </c>
      <c r="V148" s="39">
        <v>21</v>
      </c>
      <c r="W148" s="40">
        <v>24.23</v>
      </c>
      <c r="X148" s="40">
        <v>34.9</v>
      </c>
      <c r="Y148" t="s" s="47">
        <v>44</v>
      </c>
      <c r="Z148" s="41">
        <v>97.59999999999999</v>
      </c>
      <c r="AA148" s="42" cm="1">
        <f t="array" ref="AA148">Z148/1.01325</f>
        <v>96.3237108314829</v>
      </c>
      <c r="AB148" s="68" cm="1">
        <f t="array" ref="AB148">AE148*1.204</f>
        <v>0.813733380244935</v>
      </c>
      <c r="AC148" s="69">
        <v>765.399999999999</v>
      </c>
      <c r="AD148" s="70">
        <v>1000</v>
      </c>
      <c r="AE148" s="49">
        <v>0.675858289239979</v>
      </c>
      <c r="AF148" s="49" cm="1">
        <f t="array" ref="AF148">(AB148*P148*1000+AC148*Q148+R148*AD148)/24/3600</f>
        <v>2.19149077456093</v>
      </c>
      <c r="AG148" s="68" cm="1">
        <f t="array" ref="AG148">AH148*1000</f>
        <v>93.497911366041</v>
      </c>
      <c r="AH148" s="84">
        <v>0.09349791136604101</v>
      </c>
      <c r="AI148" s="63"/>
      <c r="AJ148" s="11"/>
    </row>
    <row r="149" ht="13.5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11"/>
      <c r="AB149" s="11"/>
      <c r="AC149" s="71"/>
      <c r="AD149" s="11"/>
      <c r="AE149" s="11"/>
      <c r="AF149" s="11"/>
      <c r="AG149" s="11"/>
      <c r="AH149" s="71"/>
      <c r="AI149" s="11"/>
      <c r="AJ149" s="11"/>
    </row>
    <row r="150" ht="13.5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</row>
    <row r="151" ht="13.5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</row>
    <row r="152" ht="13.5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</row>
    <row r="153" ht="13.5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</row>
    <row r="154" ht="13.5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</row>
    <row r="155" ht="13.5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</row>
    <row r="156" ht="13.5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</row>
    <row r="157" ht="13.5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</row>
    <row r="158" ht="13.5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</row>
    <row r="159" ht="13.5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</row>
    <row r="160" ht="13.5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</row>
    <row r="161" ht="13.5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</row>
    <row r="162" ht="13.5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</row>
    <row r="163" ht="13.5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</row>
    <row r="164" ht="13.5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</row>
    <row r="165" ht="13.5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</row>
    <row r="166" ht="13.5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</row>
    <row r="167" ht="13.5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</row>
    <row r="168" ht="13.5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</row>
    <row r="169" ht="13.5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</row>
    <row r="170" ht="13.5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</row>
    <row r="171" ht="13.5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</row>
    <row r="172" ht="13.5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</row>
    <row r="173" ht="13.5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</row>
    <row r="174" ht="13.5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</row>
    <row r="175" ht="13.5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</row>
    <row r="176" ht="13.5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</row>
    <row r="177" ht="13.5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</row>
    <row r="178" ht="13.5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</row>
    <row r="179" ht="13.5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</row>
    <row r="180" ht="13.5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</row>
    <row r="181" ht="13.5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</row>
    <row r="182" ht="13.5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</row>
    <row r="183" ht="13.5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</row>
    <row r="184" ht="13.5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</row>
    <row r="185" ht="13.5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</row>
    <row r="186" ht="13.5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</row>
    <row r="187" ht="13.5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</row>
  </sheetData>
  <mergeCells count="38">
    <mergeCell ref="F1:H1"/>
    <mergeCell ref="I1:K1"/>
    <mergeCell ref="P1:R1"/>
    <mergeCell ref="S1:U1"/>
    <mergeCell ref="A4:A7"/>
    <mergeCell ref="A8:A11"/>
    <mergeCell ref="A13:A17"/>
    <mergeCell ref="A18:A22"/>
    <mergeCell ref="A23:A26"/>
    <mergeCell ref="A28:A31"/>
    <mergeCell ref="A32:A35"/>
    <mergeCell ref="A36:A40"/>
    <mergeCell ref="A41:A44"/>
    <mergeCell ref="A46:A50"/>
    <mergeCell ref="A51:A55"/>
    <mergeCell ref="A56:A57"/>
    <mergeCell ref="A58:A61"/>
    <mergeCell ref="A62:A63"/>
    <mergeCell ref="A65:A68"/>
    <mergeCell ref="A69:A73"/>
    <mergeCell ref="A74:A76"/>
    <mergeCell ref="A78:A80"/>
    <mergeCell ref="A81:A86"/>
    <mergeCell ref="A87:A88"/>
    <mergeCell ref="A89:A94"/>
    <mergeCell ref="A95:A99"/>
    <mergeCell ref="A100:A103"/>
    <mergeCell ref="A105:A108"/>
    <mergeCell ref="A109:A110"/>
    <mergeCell ref="A111:A114"/>
    <mergeCell ref="A115:A118"/>
    <mergeCell ref="A119:A120"/>
    <mergeCell ref="A121:A125"/>
    <mergeCell ref="A126:A128"/>
    <mergeCell ref="A130:A133"/>
    <mergeCell ref="A135:A139"/>
    <mergeCell ref="A140:A143"/>
    <mergeCell ref="A144:A147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dimension ref="A1:AH189"/>
  <sheetViews>
    <sheetView workbookViewId="0" showGridLines="0" defaultGridColor="1"/>
  </sheetViews>
  <sheetFormatPr defaultColWidth="8.83333" defaultRowHeight="14.25" customHeight="1" outlineLevelRow="0" outlineLevelCol="0"/>
  <cols>
    <col min="1" max="1" width="9.17188" style="85" customWidth="1"/>
    <col min="2" max="2" width="14" style="85" customWidth="1"/>
    <col min="3" max="3" width="11.3516" style="85" customWidth="1"/>
    <col min="4" max="14" width="9.17188" style="85" customWidth="1"/>
    <col min="15" max="15" width="10.1719" style="85" customWidth="1"/>
    <col min="16" max="16" width="12.8516" style="85" customWidth="1"/>
    <col min="17" max="17" width="10.3516" style="85" customWidth="1"/>
    <col min="18" max="18" width="11.1719" style="85" customWidth="1"/>
    <col min="19" max="19" width="10.5" style="85" customWidth="1"/>
    <col min="20" max="20" width="12.5" style="85" customWidth="1"/>
    <col min="21" max="21" width="10.3516" style="85" customWidth="1"/>
    <col min="22" max="25" width="9.17188" style="85" customWidth="1"/>
    <col min="26" max="27" width="8.85156" style="85" customWidth="1"/>
    <col min="28" max="29" width="9.5" style="85" customWidth="1"/>
    <col min="30" max="30" width="10.5" style="85" customWidth="1"/>
    <col min="31" max="31" width="11.5" style="85" customWidth="1"/>
    <col min="32" max="32" width="13.1719" style="85" customWidth="1"/>
    <col min="33" max="34" width="8.85156" style="85" customWidth="1"/>
    <col min="35" max="16384" width="8.85156" style="85" customWidth="1"/>
  </cols>
  <sheetData>
    <row r="1" ht="13.55" customHeight="1">
      <c r="A1" s="47"/>
      <c r="B1" s="86"/>
      <c r="C1" s="48"/>
      <c r="D1" s="53"/>
      <c r="E1" t="s" s="87">
        <v>46</v>
      </c>
      <c r="F1" s="88"/>
      <c r="G1" s="88"/>
      <c r="H1" t="s" s="87">
        <v>47</v>
      </c>
      <c r="I1" s="88"/>
      <c r="J1" s="88"/>
      <c r="K1" s="53"/>
      <c r="L1" s="53"/>
      <c r="M1" s="53"/>
      <c r="N1" s="53"/>
      <c r="O1" t="s" s="87">
        <v>2</v>
      </c>
      <c r="P1" s="88"/>
      <c r="Q1" s="88"/>
      <c r="R1" s="88"/>
      <c r="S1" t="s" s="47">
        <v>3</v>
      </c>
      <c r="T1" s="53"/>
      <c r="U1" s="53"/>
      <c r="V1" s="53"/>
      <c r="W1" s="88"/>
      <c r="X1" s="88"/>
      <c r="Y1" s="88"/>
      <c r="Z1" s="89"/>
      <c r="AA1" s="90"/>
      <c r="AB1" s="90"/>
      <c r="AC1" s="90"/>
      <c r="AD1" s="90"/>
      <c r="AE1" s="90"/>
      <c r="AF1" s="90"/>
      <c r="AG1" s="90"/>
      <c r="AH1" s="90"/>
    </row>
    <row r="2" ht="51" customHeight="1">
      <c r="A2" s="47"/>
      <c r="B2" s="86"/>
      <c r="C2" t="s" s="27">
        <v>4</v>
      </c>
      <c r="D2" t="s" s="87">
        <v>5</v>
      </c>
      <c r="E2" t="s" s="87">
        <v>7</v>
      </c>
      <c r="F2" t="s" s="87">
        <v>6</v>
      </c>
      <c r="G2" t="s" s="87">
        <v>8</v>
      </c>
      <c r="H2" t="s" s="87">
        <v>7</v>
      </c>
      <c r="I2" t="s" s="87">
        <v>6</v>
      </c>
      <c r="J2" t="s" s="87">
        <v>48</v>
      </c>
      <c r="K2" t="s" s="87">
        <v>9</v>
      </c>
      <c r="L2" t="s" s="91">
        <v>11</v>
      </c>
      <c r="M2" t="s" s="87">
        <v>12</v>
      </c>
      <c r="N2" t="s" s="87">
        <v>10</v>
      </c>
      <c r="O2" t="s" s="87">
        <v>13</v>
      </c>
      <c r="P2" t="s" s="87">
        <v>14</v>
      </c>
      <c r="Q2" t="s" s="87">
        <v>15</v>
      </c>
      <c r="R2" t="s" s="87">
        <v>49</v>
      </c>
      <c r="S2" t="s" s="47">
        <v>50</v>
      </c>
      <c r="T2" t="s" s="27">
        <v>51</v>
      </c>
      <c r="U2" t="s" s="47">
        <v>15</v>
      </c>
      <c r="V2" t="s" s="87">
        <v>17</v>
      </c>
      <c r="W2" t="s" s="91">
        <v>18</v>
      </c>
      <c r="X2" t="s" s="91">
        <v>19</v>
      </c>
      <c r="Y2" t="s" s="91">
        <v>20</v>
      </c>
      <c r="Z2" t="s" s="87">
        <v>21</v>
      </c>
      <c r="AA2" t="s" s="87">
        <v>21</v>
      </c>
      <c r="AB2" t="s" s="91">
        <v>22</v>
      </c>
      <c r="AC2" t="s" s="92">
        <v>23</v>
      </c>
      <c r="AD2" t="s" s="91">
        <v>24</v>
      </c>
      <c r="AE2" t="s" s="92">
        <v>25</v>
      </c>
      <c r="AF2" t="s" s="91">
        <v>26</v>
      </c>
      <c r="AG2" t="s" s="91">
        <v>27</v>
      </c>
      <c r="AH2" t="s" s="92">
        <v>27</v>
      </c>
    </row>
    <row r="3" ht="36.75" customHeight="1">
      <c r="A3" t="s" s="91">
        <v>28</v>
      </c>
      <c r="B3" t="s" s="91">
        <v>29</v>
      </c>
      <c r="C3" t="s" s="91">
        <v>30</v>
      </c>
      <c r="D3" t="s" s="91">
        <v>31</v>
      </c>
      <c r="E3" t="s" s="91">
        <v>52</v>
      </c>
      <c r="F3" t="s" s="91">
        <v>52</v>
      </c>
      <c r="G3" t="s" s="91">
        <v>52</v>
      </c>
      <c r="H3" t="s" s="91">
        <v>32</v>
      </c>
      <c r="I3" t="s" s="91">
        <v>32</v>
      </c>
      <c r="J3" t="s" s="91">
        <v>32</v>
      </c>
      <c r="K3" t="s" s="91">
        <v>33</v>
      </c>
      <c r="L3" t="s" s="91">
        <v>33</v>
      </c>
      <c r="M3" t="s" s="91">
        <v>33</v>
      </c>
      <c r="N3" t="s" s="91">
        <v>33</v>
      </c>
      <c r="O3" t="s" s="91">
        <v>34</v>
      </c>
      <c r="P3" t="s" s="91">
        <v>35</v>
      </c>
      <c r="Q3" t="s" s="91">
        <v>35</v>
      </c>
      <c r="R3" t="s" s="91">
        <v>34</v>
      </c>
      <c r="S3" t="s" s="91">
        <v>35</v>
      </c>
      <c r="T3" t="s" s="91">
        <v>35</v>
      </c>
      <c r="U3" t="s" s="91">
        <v>35</v>
      </c>
      <c r="V3" t="s" s="91">
        <v>30</v>
      </c>
      <c r="W3" t="s" s="91">
        <v>36</v>
      </c>
      <c r="X3" t="s" s="91">
        <v>36</v>
      </c>
      <c r="Y3" t="s" s="91">
        <v>36</v>
      </c>
      <c r="Z3" t="s" s="91">
        <v>37</v>
      </c>
      <c r="AA3" t="s" s="91">
        <v>38</v>
      </c>
      <c r="AB3" t="s" s="93">
        <v>39</v>
      </c>
      <c r="AC3" t="s" s="93">
        <v>39</v>
      </c>
      <c r="AD3" t="s" s="93">
        <v>39</v>
      </c>
      <c r="AE3" t="s" s="93">
        <v>40</v>
      </c>
      <c r="AF3" t="s" s="93">
        <v>41</v>
      </c>
      <c r="AG3" t="s" s="93">
        <v>42</v>
      </c>
      <c r="AH3" t="s" s="94">
        <v>53</v>
      </c>
    </row>
    <row r="4" ht="15" customHeight="1">
      <c r="A4" s="37">
        <v>804</v>
      </c>
      <c r="B4" s="57">
        <v>39604</v>
      </c>
      <c r="C4" s="40">
        <v>3576.3</v>
      </c>
      <c r="D4" s="95">
        <v>7.94</v>
      </c>
      <c r="E4" s="95">
        <v>249.6</v>
      </c>
      <c r="F4" s="95">
        <v>370.1</v>
      </c>
      <c r="G4" s="95">
        <v>101.8</v>
      </c>
      <c r="H4" s="96">
        <v>249</v>
      </c>
      <c r="I4" s="95">
        <v>359.6</v>
      </c>
      <c r="J4" s="95">
        <v>101.8</v>
      </c>
      <c r="K4" s="95">
        <v>53</v>
      </c>
      <c r="L4" s="95">
        <v>31.7</v>
      </c>
      <c r="M4" s="95">
        <v>103.2</v>
      </c>
      <c r="N4" s="95">
        <v>32.5</v>
      </c>
      <c r="O4" s="95">
        <v>214.704</v>
      </c>
      <c r="P4" s="95">
        <v>83.59999999999999</v>
      </c>
      <c r="Q4" s="95">
        <v>0.4</v>
      </c>
      <c r="R4" s="95">
        <v>231.24884</v>
      </c>
      <c r="S4" s="40">
        <v>1610.368866</v>
      </c>
      <c r="T4" s="40">
        <v>131.3</v>
      </c>
      <c r="U4" s="40">
        <v>0.4</v>
      </c>
      <c r="V4" s="95">
        <v>56.8</v>
      </c>
      <c r="W4" s="95">
        <v>45.25</v>
      </c>
      <c r="X4" s="95">
        <v>56.5</v>
      </c>
      <c r="Y4" t="s" s="87">
        <v>44</v>
      </c>
      <c r="Z4" s="97">
        <v>93.59999999999999</v>
      </c>
      <c r="AA4" s="97" cm="1">
        <f t="array" ref="AA4">Z4/1.01325</f>
        <v>92.37601776461879</v>
      </c>
      <c r="AB4" s="98" cm="1">
        <f t="array" ref="AB4">AE4*1.204</f>
        <v>0.806016665797101</v>
      </c>
      <c r="AC4" s="99">
        <v>801</v>
      </c>
      <c r="AD4" s="100">
        <v>1000</v>
      </c>
      <c r="AE4" s="101">
        <v>0.6694490579710139</v>
      </c>
      <c r="AF4" s="102" cm="1">
        <f t="array" ref="AF4">(O4*1000*AB4+P4*AC4+Q4*AD4)/24/3600</f>
        <v>2.78262271080209</v>
      </c>
      <c r="AG4" s="102" cm="1">
        <f t="array" ref="AG4">0.3119094*1000</f>
        <v>311.9094</v>
      </c>
      <c r="AH4" s="103"/>
    </row>
    <row r="5" ht="15" customHeight="1">
      <c r="A5" s="37">
        <v>804</v>
      </c>
      <c r="B5" s="57">
        <v>39605</v>
      </c>
      <c r="C5" s="40">
        <v>3576.3</v>
      </c>
      <c r="D5" s="95">
        <v>9.529999999999999</v>
      </c>
      <c r="E5" s="95">
        <v>233.5</v>
      </c>
      <c r="F5" s="95">
        <v>364.6</v>
      </c>
      <c r="G5" s="95">
        <v>101.3</v>
      </c>
      <c r="H5" s="96">
        <v>231</v>
      </c>
      <c r="I5" s="95">
        <v>338.1</v>
      </c>
      <c r="J5" s="95">
        <v>102.4</v>
      </c>
      <c r="K5" s="95">
        <v>58.8</v>
      </c>
      <c r="L5" s="95">
        <v>37.6</v>
      </c>
      <c r="M5" s="95">
        <v>103</v>
      </c>
      <c r="N5" s="95">
        <v>38.6</v>
      </c>
      <c r="O5" s="95">
        <v>290.594</v>
      </c>
      <c r="P5" s="95">
        <v>104.7</v>
      </c>
      <c r="Q5" s="95">
        <v>1.4</v>
      </c>
      <c r="R5" s="95">
        <v>309.00166</v>
      </c>
      <c r="S5" s="40">
        <v>2310.226429</v>
      </c>
      <c r="T5" s="40">
        <v>158.5</v>
      </c>
      <c r="U5" s="40">
        <v>1.4</v>
      </c>
      <c r="V5" s="95">
        <v>56.8</v>
      </c>
      <c r="W5" s="95">
        <v>45.25</v>
      </c>
      <c r="X5" s="95">
        <v>56.5</v>
      </c>
      <c r="Y5" t="s" s="87">
        <v>44</v>
      </c>
      <c r="Z5" s="97">
        <v>92.90000000000001</v>
      </c>
      <c r="AA5" s="97" cm="1">
        <f t="array" ref="AA5">Z5/1.01325</f>
        <v>91.68517147791761</v>
      </c>
      <c r="AB5" s="98" cm="1">
        <f t="array" ref="AB5">AE5*1.204</f>
        <v>0.806016665797101</v>
      </c>
      <c r="AC5" s="99">
        <v>801</v>
      </c>
      <c r="AD5" s="100">
        <v>1000</v>
      </c>
      <c r="AE5" s="101">
        <v>0.6694490579710139</v>
      </c>
      <c r="AF5" s="102" cm="1">
        <f t="array" ref="AF5">(O5*1000*AB5+P5*AC5+Q5*AD5)/24/3600</f>
        <v>3.69778133079448</v>
      </c>
      <c r="AG5" s="102" cm="1">
        <f t="array" ref="AG5">0.2886003*1000</f>
        <v>288.6003</v>
      </c>
      <c r="AH5" s="103"/>
    </row>
    <row r="6" ht="15" customHeight="1">
      <c r="A6" s="37">
        <v>804</v>
      </c>
      <c r="B6" s="57">
        <v>39606</v>
      </c>
      <c r="C6" s="40">
        <v>3576.3</v>
      </c>
      <c r="D6" s="95">
        <v>11.11</v>
      </c>
      <c r="E6" s="95">
        <v>213.4</v>
      </c>
      <c r="F6" s="95">
        <v>357.1</v>
      </c>
      <c r="G6" s="95">
        <v>101.6</v>
      </c>
      <c r="H6" s="96">
        <v>211</v>
      </c>
      <c r="I6" s="95">
        <v>314.8</v>
      </c>
      <c r="J6" s="95">
        <v>100.6</v>
      </c>
      <c r="K6" s="95">
        <v>63.6</v>
      </c>
      <c r="L6" s="95">
        <v>42.8</v>
      </c>
      <c r="M6" s="95">
        <v>102.6</v>
      </c>
      <c r="N6" s="95">
        <v>43.4</v>
      </c>
      <c r="O6" s="95">
        <v>368.042</v>
      </c>
      <c r="P6" s="95">
        <v>114.3</v>
      </c>
      <c r="Q6" s="95">
        <v>1.9</v>
      </c>
      <c r="R6" s="95">
        <v>388.11498</v>
      </c>
      <c r="S6" s="40">
        <v>3039.48968</v>
      </c>
      <c r="T6" s="40">
        <v>172.3</v>
      </c>
      <c r="U6" s="40">
        <v>1.9</v>
      </c>
      <c r="V6" s="95">
        <v>56.8</v>
      </c>
      <c r="W6" s="95">
        <v>45.25</v>
      </c>
      <c r="X6" s="95">
        <v>56.5</v>
      </c>
      <c r="Y6" t="s" s="87">
        <v>44</v>
      </c>
      <c r="Z6" s="97">
        <v>91.40000000000001</v>
      </c>
      <c r="AA6" s="97" cm="1">
        <f t="array" ref="AA6">Z6/1.01325</f>
        <v>90.20478657784361</v>
      </c>
      <c r="AB6" s="98" cm="1">
        <f t="array" ref="AB6">AE6*1.204</f>
        <v>0.806016665797101</v>
      </c>
      <c r="AC6" s="99">
        <v>801</v>
      </c>
      <c r="AD6" s="100">
        <v>1000</v>
      </c>
      <c r="AE6" s="101">
        <v>0.6694490579710139</v>
      </c>
      <c r="AF6" s="102" cm="1">
        <f t="array" ref="AF6">(O6*1000*AB6+P6*AC6+Q6*AD6)/24/3600</f>
        <v>4.5150727513113</v>
      </c>
      <c r="AG6" s="102" cm="1">
        <f t="array" ref="AG6">0.2487906*1000</f>
        <v>248.7906</v>
      </c>
      <c r="AH6" s="103"/>
    </row>
    <row r="7" ht="15" customHeight="1">
      <c r="A7" s="37">
        <v>804</v>
      </c>
      <c r="B7" s="57">
        <v>39607</v>
      </c>
      <c r="C7" s="40">
        <v>3576.3</v>
      </c>
      <c r="D7" s="95">
        <v>12.7</v>
      </c>
      <c r="E7" s="95">
        <v>191.6</v>
      </c>
      <c r="F7" s="95">
        <v>347.4</v>
      </c>
      <c r="G7" s="95">
        <v>98.40000000000001</v>
      </c>
      <c r="H7" s="96">
        <v>187</v>
      </c>
      <c r="I7" s="95">
        <v>291.5</v>
      </c>
      <c r="J7" s="95">
        <v>99</v>
      </c>
      <c r="K7" s="95">
        <v>64.7</v>
      </c>
      <c r="L7" s="95">
        <v>46.2</v>
      </c>
      <c r="M7" s="95">
        <v>102</v>
      </c>
      <c r="N7" s="95">
        <v>46.1</v>
      </c>
      <c r="O7" s="95">
        <v>434.663</v>
      </c>
      <c r="P7" s="95">
        <v>121.3</v>
      </c>
      <c r="Q7" s="95">
        <v>3.3</v>
      </c>
      <c r="R7" s="95">
        <v>455.21452</v>
      </c>
      <c r="S7" s="40">
        <v>3824.082686</v>
      </c>
      <c r="T7" s="40">
        <v>181.5</v>
      </c>
      <c r="U7" s="40">
        <v>3.3</v>
      </c>
      <c r="V7" s="95">
        <v>56.8</v>
      </c>
      <c r="W7" s="95">
        <v>45.25</v>
      </c>
      <c r="X7" s="95">
        <v>56.5</v>
      </c>
      <c r="Y7" t="s" s="87">
        <v>44</v>
      </c>
      <c r="Z7" s="97">
        <v>89.2</v>
      </c>
      <c r="AA7" s="97" cm="1">
        <f t="array" ref="AA7">Z7/1.01325</f>
        <v>88.0335553910683</v>
      </c>
      <c r="AB7" s="98" cm="1">
        <f t="array" ref="AB7">AE7*1.204</f>
        <v>0.806016665797101</v>
      </c>
      <c r="AC7" s="99">
        <v>801</v>
      </c>
      <c r="AD7" s="100">
        <v>1000</v>
      </c>
      <c r="AE7" s="101">
        <v>0.6694490579710139</v>
      </c>
      <c r="AF7" s="102" cm="1">
        <f t="array" ref="AF7">(O7*1000*AB7+P7*AC7+Q7*AD7)/24/3600</f>
        <v>5.21767270839543</v>
      </c>
      <c r="AG7" s="102" cm="1">
        <f t="array" ref="AG7">0.2235591*1000</f>
        <v>223.5591</v>
      </c>
      <c r="AH7" s="103"/>
    </row>
    <row r="8" ht="15" customHeight="1">
      <c r="A8" s="37">
        <v>804</v>
      </c>
      <c r="B8" s="57">
        <v>39608</v>
      </c>
      <c r="C8" s="40">
        <v>3576.3</v>
      </c>
      <c r="D8" s="95">
        <v>14.29</v>
      </c>
      <c r="E8" s="95">
        <v>171.9</v>
      </c>
      <c r="F8" s="95">
        <v>337.7</v>
      </c>
      <c r="G8" s="95">
        <v>99.2</v>
      </c>
      <c r="H8" s="96">
        <v>169</v>
      </c>
      <c r="I8" s="95">
        <v>270.3</v>
      </c>
      <c r="J8" s="95">
        <v>99.5</v>
      </c>
      <c r="K8" s="95">
        <v>64</v>
      </c>
      <c r="L8" s="95">
        <v>49.4</v>
      </c>
      <c r="M8" s="95">
        <v>104.4</v>
      </c>
      <c r="N8" s="95">
        <v>49.9</v>
      </c>
      <c r="O8" s="95">
        <v>483.283</v>
      </c>
      <c r="P8" s="95">
        <v>129.8</v>
      </c>
      <c r="Q8" s="95">
        <v>4.6</v>
      </c>
      <c r="R8" s="95">
        <v>504.58778</v>
      </c>
      <c r="S8" s="40">
        <v>4299.104676</v>
      </c>
      <c r="T8" s="40">
        <v>190.6</v>
      </c>
      <c r="U8" s="40">
        <v>4.7</v>
      </c>
      <c r="V8" s="95">
        <v>56.8</v>
      </c>
      <c r="W8" s="95">
        <v>45.25</v>
      </c>
      <c r="X8" s="95">
        <v>56.5</v>
      </c>
      <c r="Y8" t="s" s="87">
        <v>44</v>
      </c>
      <c r="Z8" s="97">
        <v>89.7</v>
      </c>
      <c r="AA8" s="97" cm="1">
        <f t="array" ref="AA8">Z8/1.01325</f>
        <v>88.5270170244264</v>
      </c>
      <c r="AB8" s="98" cm="1">
        <f t="array" ref="AB8">AE8*1.204</f>
        <v>0.806016665797101</v>
      </c>
      <c r="AC8" s="99">
        <v>801</v>
      </c>
      <c r="AD8" s="100">
        <v>1000</v>
      </c>
      <c r="AE8" s="101">
        <v>0.6694490579710139</v>
      </c>
      <c r="AF8" s="102" cm="1">
        <f t="array" ref="AF8">(O8*1000*AB8+P8*AC8+Q8*AD8)/24/3600</f>
        <v>5.76509204046783</v>
      </c>
      <c r="AG8" s="102" cm="1">
        <f t="array" ref="AG8">0.2151486*1000</f>
        <v>215.1486</v>
      </c>
      <c r="AH8" s="103"/>
    </row>
    <row r="9" ht="15" customHeight="1">
      <c r="A9" s="37">
        <v>804</v>
      </c>
      <c r="B9" s="57">
        <v>40711</v>
      </c>
      <c r="C9" s="40">
        <v>3576.3</v>
      </c>
      <c r="D9" s="95">
        <v>9.529999999999999</v>
      </c>
      <c r="E9" s="95">
        <v>199.5</v>
      </c>
      <c r="F9" s="95">
        <v>286.4</v>
      </c>
      <c r="G9" s="95">
        <v>106.361668984702</v>
      </c>
      <c r="H9" s="104">
        <v>199.5</v>
      </c>
      <c r="I9" s="95">
        <v>286.6</v>
      </c>
      <c r="J9" s="96">
        <v>106.19</v>
      </c>
      <c r="K9" s="95">
        <v>57.5</v>
      </c>
      <c r="L9" s="95">
        <v>38.8</v>
      </c>
      <c r="M9" s="95">
        <v>102.64</v>
      </c>
      <c r="N9" s="95">
        <v>38.9797121001391</v>
      </c>
      <c r="O9" s="95">
        <v>251.7</v>
      </c>
      <c r="P9" s="95">
        <v>76.8</v>
      </c>
      <c r="Q9" s="95">
        <v>0.6</v>
      </c>
      <c r="R9" s="95">
        <v>268.89612</v>
      </c>
      <c r="S9" s="40">
        <v>1921</v>
      </c>
      <c r="T9" s="40">
        <v>119</v>
      </c>
      <c r="U9" s="40">
        <v>0.6</v>
      </c>
      <c r="V9" s="95">
        <v>56.8</v>
      </c>
      <c r="W9" s="95">
        <v>41.22431</v>
      </c>
      <c r="X9" s="95">
        <v>48.3</v>
      </c>
      <c r="Y9" t="s" s="87">
        <v>44</v>
      </c>
      <c r="Z9" s="97">
        <v>90.7</v>
      </c>
      <c r="AA9" s="97" cm="1">
        <f t="array" ref="AA9">Z9/1.01325</f>
        <v>89.5139402911424</v>
      </c>
      <c r="AB9" s="98" cm="1">
        <f t="array" ref="AB9">AE9*1.204</f>
        <v>0.8127</v>
      </c>
      <c r="AC9" s="100">
        <v>789.8</v>
      </c>
      <c r="AD9" s="100">
        <v>1000</v>
      </c>
      <c r="AE9" s="105">
        <v>0.675</v>
      </c>
      <c r="AF9" s="102" cm="1">
        <f t="array" ref="AF9">(O9*1000*AB9+P9*AC9+Q9*AD9)/24/3600</f>
        <v>3.07654201388889</v>
      </c>
      <c r="AG9" s="102" cm="1">
        <f t="array" ref="AG9">0.241130793707915*1000</f>
        <v>241.130793707915</v>
      </c>
      <c r="AH9" s="103"/>
    </row>
    <row r="10" ht="15" customHeight="1">
      <c r="A10" s="37">
        <v>807</v>
      </c>
      <c r="B10" s="57">
        <v>38246</v>
      </c>
      <c r="C10" s="40">
        <v>3590</v>
      </c>
      <c r="D10" s="95">
        <v>7.93</v>
      </c>
      <c r="E10" s="95">
        <v>284.31795</v>
      </c>
      <c r="F10" s="95">
        <v>391.823775</v>
      </c>
      <c r="G10" t="s" s="87">
        <v>44</v>
      </c>
      <c r="H10" s="95">
        <v>284.31795</v>
      </c>
      <c r="I10" s="95">
        <v>391.823775</v>
      </c>
      <c r="J10" t="s" s="87">
        <v>44</v>
      </c>
      <c r="K10" s="95">
        <v>46</v>
      </c>
      <c r="L10" t="s" s="87">
        <v>44</v>
      </c>
      <c r="M10" s="95">
        <v>102.8</v>
      </c>
      <c r="N10" t="s" s="87">
        <v>44</v>
      </c>
      <c r="O10" s="95">
        <v>198.9</v>
      </c>
      <c r="P10" s="95">
        <v>70.59999999999999</v>
      </c>
      <c r="Q10" s="95">
        <v>0</v>
      </c>
      <c r="R10" s="95">
        <v>206.056016</v>
      </c>
      <c r="S10" t="s" s="47">
        <v>44</v>
      </c>
      <c r="T10" t="s" s="47">
        <v>44</v>
      </c>
      <c r="U10" t="s" s="47">
        <v>44</v>
      </c>
      <c r="V10" s="95">
        <v>57.2</v>
      </c>
      <c r="W10" s="95">
        <v>41.88</v>
      </c>
      <c r="X10" s="95">
        <v>52.3</v>
      </c>
      <c r="Y10" s="95">
        <v>51.7</v>
      </c>
      <c r="Z10" s="97"/>
      <c r="AA10" s="106" cm="1">
        <f t="array" ref="AA10">Z10/1.01325</f>
        <v>0</v>
      </c>
      <c r="AB10" s="107"/>
      <c r="AC10" s="107"/>
      <c r="AD10" s="107"/>
      <c r="AE10" s="107"/>
      <c r="AF10" s="107"/>
      <c r="AG10" s="107"/>
      <c r="AH10" s="108"/>
    </row>
    <row r="11" ht="15" customHeight="1">
      <c r="A11" s="37">
        <v>807</v>
      </c>
      <c r="B11" s="57">
        <v>38246</v>
      </c>
      <c r="C11" s="40">
        <v>3590</v>
      </c>
      <c r="D11" s="95">
        <v>11.11</v>
      </c>
      <c r="E11" s="95">
        <v>270.94305</v>
      </c>
      <c r="F11" s="95">
        <v>384.2244</v>
      </c>
      <c r="G11" t="s" s="87">
        <v>44</v>
      </c>
      <c r="H11" s="95">
        <v>270.94305</v>
      </c>
      <c r="I11" s="95">
        <v>384.2244</v>
      </c>
      <c r="J11" t="s" s="87">
        <v>44</v>
      </c>
      <c r="K11" s="95">
        <v>56</v>
      </c>
      <c r="L11" t="s" s="87">
        <v>44</v>
      </c>
      <c r="M11" s="95">
        <v>102.9</v>
      </c>
      <c r="N11" t="s" s="87">
        <v>44</v>
      </c>
      <c r="O11" s="95">
        <v>341.5</v>
      </c>
      <c r="P11" s="95">
        <v>129.3</v>
      </c>
      <c r="Q11" s="95">
        <v>0.1</v>
      </c>
      <c r="R11" s="95">
        <v>354.651203</v>
      </c>
      <c r="S11" t="s" s="47">
        <v>44</v>
      </c>
      <c r="T11" t="s" s="47">
        <v>44</v>
      </c>
      <c r="U11" t="s" s="47">
        <v>44</v>
      </c>
      <c r="V11" s="95">
        <v>57.2</v>
      </c>
      <c r="W11" s="95">
        <v>41.88</v>
      </c>
      <c r="X11" s="95">
        <v>52.3</v>
      </c>
      <c r="Y11" s="95">
        <v>51.7</v>
      </c>
      <c r="Z11" s="97"/>
      <c r="AA11" s="109" cm="1">
        <f t="array" ref="AA11">Z11/1.01325</f>
        <v>0</v>
      </c>
      <c r="AB11" s="110"/>
      <c r="AC11" s="110"/>
      <c r="AD11" s="110"/>
      <c r="AE11" s="110"/>
      <c r="AF11" s="110"/>
      <c r="AG11" s="110"/>
      <c r="AH11" s="108"/>
    </row>
    <row r="12" ht="15" customHeight="1">
      <c r="A12" s="37">
        <v>807</v>
      </c>
      <c r="B12" s="57">
        <v>38247</v>
      </c>
      <c r="C12" s="40">
        <v>3590</v>
      </c>
      <c r="D12" s="95">
        <v>14.28</v>
      </c>
      <c r="E12" s="95">
        <v>245.510475</v>
      </c>
      <c r="F12" s="95">
        <v>371.91239925</v>
      </c>
      <c r="G12" t="s" s="87">
        <v>44</v>
      </c>
      <c r="H12" s="95">
        <v>245.510475</v>
      </c>
      <c r="I12" s="95">
        <v>371.91239925</v>
      </c>
      <c r="J12" t="s" s="87">
        <v>44</v>
      </c>
      <c r="K12" s="95">
        <v>63</v>
      </c>
      <c r="L12" t="s" s="87">
        <v>44</v>
      </c>
      <c r="M12" s="95">
        <v>103</v>
      </c>
      <c r="N12" t="s" s="87">
        <v>44</v>
      </c>
      <c r="O12" s="95">
        <v>569.7</v>
      </c>
      <c r="P12" s="95">
        <v>204.4</v>
      </c>
      <c r="Q12" s="95">
        <v>0.8</v>
      </c>
      <c r="R12" s="95">
        <v>586.16522</v>
      </c>
      <c r="S12" t="s" s="47">
        <v>44</v>
      </c>
      <c r="T12" t="s" s="47">
        <v>44</v>
      </c>
      <c r="U12" t="s" s="47">
        <v>44</v>
      </c>
      <c r="V12" s="95">
        <v>57.2</v>
      </c>
      <c r="W12" s="95">
        <v>41.88</v>
      </c>
      <c r="X12" s="95">
        <v>52.3</v>
      </c>
      <c r="Y12" s="95">
        <v>51.7</v>
      </c>
      <c r="Z12" s="97"/>
      <c r="AA12" s="109" cm="1">
        <f t="array" ref="AA12">Z12/1.01325</f>
        <v>0</v>
      </c>
      <c r="AB12" s="110"/>
      <c r="AC12" s="110"/>
      <c r="AD12" s="110"/>
      <c r="AE12" s="110"/>
      <c r="AF12" s="110"/>
      <c r="AG12" s="110"/>
      <c r="AH12" s="108"/>
    </row>
    <row r="13" ht="15" customHeight="1">
      <c r="A13" s="37">
        <v>807</v>
      </c>
      <c r="B13" s="57">
        <v>38247</v>
      </c>
      <c r="C13" s="40">
        <v>3590</v>
      </c>
      <c r="D13" s="95">
        <v>17.46</v>
      </c>
      <c r="E13" s="95">
        <v>209.641425</v>
      </c>
      <c r="F13" s="95">
        <v>346.19206125</v>
      </c>
      <c r="G13" t="s" s="87">
        <v>44</v>
      </c>
      <c r="H13" s="95">
        <v>209.641425</v>
      </c>
      <c r="I13" s="95">
        <v>346.19206125</v>
      </c>
      <c r="J13" t="s" s="87">
        <v>44</v>
      </c>
      <c r="K13" s="95">
        <v>65</v>
      </c>
      <c r="L13" t="s" s="87">
        <v>44</v>
      </c>
      <c r="M13" s="95">
        <v>103.3</v>
      </c>
      <c r="N13" t="s" s="87">
        <v>44</v>
      </c>
      <c r="O13" s="95">
        <v>692.6</v>
      </c>
      <c r="P13" s="95">
        <v>202.7</v>
      </c>
      <c r="Q13" s="95">
        <v>1.2</v>
      </c>
      <c r="R13" s="95">
        <v>712.617221997543</v>
      </c>
      <c r="S13" t="s" s="47">
        <v>44</v>
      </c>
      <c r="T13" t="s" s="47">
        <v>44</v>
      </c>
      <c r="U13" t="s" s="47">
        <v>44</v>
      </c>
      <c r="V13" s="95">
        <v>57.2</v>
      </c>
      <c r="W13" s="95">
        <v>41.88</v>
      </c>
      <c r="X13" s="95">
        <v>52.3</v>
      </c>
      <c r="Y13" s="95">
        <v>51.7</v>
      </c>
      <c r="Z13" s="97"/>
      <c r="AA13" s="109" cm="1">
        <f t="array" ref="AA13">Z13/1.01325</f>
        <v>0</v>
      </c>
      <c r="AB13" s="110"/>
      <c r="AC13" s="110"/>
      <c r="AD13" s="110"/>
      <c r="AE13" s="110"/>
      <c r="AF13" s="110"/>
      <c r="AG13" s="110"/>
      <c r="AH13" s="108"/>
    </row>
    <row r="14" ht="15" customHeight="1">
      <c r="A14" s="37">
        <v>807</v>
      </c>
      <c r="B14" s="57">
        <v>39211</v>
      </c>
      <c r="C14" s="40">
        <v>3667</v>
      </c>
      <c r="D14" s="95">
        <v>7.94</v>
      </c>
      <c r="E14" s="95">
        <v>252</v>
      </c>
      <c r="F14" s="95">
        <v>354.333525</v>
      </c>
      <c r="G14" s="95">
        <v>102.932004048583</v>
      </c>
      <c r="H14" s="95">
        <v>252</v>
      </c>
      <c r="I14" s="95">
        <v>354.2</v>
      </c>
      <c r="J14" s="95">
        <v>101.565483870968</v>
      </c>
      <c r="K14" s="95">
        <v>56</v>
      </c>
      <c r="L14" t="s" s="87">
        <v>44</v>
      </c>
      <c r="M14" s="95">
        <v>105.3</v>
      </c>
      <c r="N14" s="95">
        <v>32.9972753036437</v>
      </c>
      <c r="O14" s="95">
        <v>234.857429149798</v>
      </c>
      <c r="P14" s="95">
        <v>56.0685870445344</v>
      </c>
      <c r="Q14" s="95">
        <v>0</v>
      </c>
      <c r="R14" s="95">
        <v>261.281260259476</v>
      </c>
      <c r="S14" s="40">
        <v>1807.4</v>
      </c>
      <c r="T14" s="40">
        <v>90.40000000000001</v>
      </c>
      <c r="U14" s="40">
        <v>0</v>
      </c>
      <c r="V14" s="95">
        <v>57.2</v>
      </c>
      <c r="W14" s="95">
        <v>38.74</v>
      </c>
      <c r="X14" s="95">
        <v>50.8596</v>
      </c>
      <c r="Y14" s="95">
        <v>50.1</v>
      </c>
      <c r="Z14" s="97">
        <v>100.9</v>
      </c>
      <c r="AA14" s="109" cm="1">
        <f t="array" ref="AA14">Z14/1.01325</f>
        <v>99.5805576116457</v>
      </c>
      <c r="AB14" s="110"/>
      <c r="AC14" s="110">
        <v>787</v>
      </c>
      <c r="AD14" s="110"/>
      <c r="AE14" s="110">
        <v>0.659</v>
      </c>
      <c r="AF14" s="110"/>
      <c r="AG14" s="110"/>
      <c r="AH14" s="111">
        <v>0.188</v>
      </c>
    </row>
    <row r="15" ht="15" customHeight="1">
      <c r="A15" s="37">
        <v>807</v>
      </c>
      <c r="B15" s="57">
        <v>39212</v>
      </c>
      <c r="C15" s="40">
        <v>3667</v>
      </c>
      <c r="D15" s="95">
        <v>9.529999999999999</v>
      </c>
      <c r="E15" s="95">
        <v>250</v>
      </c>
      <c r="F15" s="95">
        <v>350.2</v>
      </c>
      <c r="G15" s="95">
        <v>103.186902286902</v>
      </c>
      <c r="H15" s="95">
        <v>250</v>
      </c>
      <c r="I15" s="95">
        <v>349.1</v>
      </c>
      <c r="J15" s="95">
        <v>103.322580645161</v>
      </c>
      <c r="K15" s="95">
        <v>61</v>
      </c>
      <c r="L15" t="s" s="87">
        <v>44</v>
      </c>
      <c r="M15" s="95">
        <v>105.2</v>
      </c>
      <c r="N15" s="95">
        <v>39.060920997921</v>
      </c>
      <c r="O15" s="95">
        <v>326.224449064449</v>
      </c>
      <c r="P15" s="95">
        <v>73.8871580041579</v>
      </c>
      <c r="Q15" s="95">
        <v>0</v>
      </c>
      <c r="R15" s="95">
        <v>362.084736980708</v>
      </c>
      <c r="S15" s="40">
        <v>2532.4</v>
      </c>
      <c r="T15" s="40">
        <v>118</v>
      </c>
      <c r="U15" s="40">
        <v>0</v>
      </c>
      <c r="V15" s="95">
        <v>57.2</v>
      </c>
      <c r="W15" s="95">
        <v>38.74</v>
      </c>
      <c r="X15" s="95">
        <v>50.8596</v>
      </c>
      <c r="Y15" s="95">
        <v>50.1</v>
      </c>
      <c r="Z15" s="97">
        <v>100.1</v>
      </c>
      <c r="AA15" s="109" cm="1">
        <f t="array" ref="AA15">Z15/1.01325</f>
        <v>98.7910189982729</v>
      </c>
      <c r="AB15" s="110"/>
      <c r="AC15" s="110">
        <v>787</v>
      </c>
      <c r="AD15" s="110"/>
      <c r="AE15" s="110">
        <v>0.659</v>
      </c>
      <c r="AF15" s="110"/>
      <c r="AG15" s="110"/>
      <c r="AH15" s="111">
        <v>0.178</v>
      </c>
    </row>
    <row r="16" ht="15" customHeight="1">
      <c r="A16" s="37">
        <v>807</v>
      </c>
      <c r="B16" s="57">
        <v>39213</v>
      </c>
      <c r="C16" s="40">
        <v>3667</v>
      </c>
      <c r="D16" s="95">
        <v>11.11</v>
      </c>
      <c r="E16" s="95">
        <v>240</v>
      </c>
      <c r="F16" s="95">
        <v>344</v>
      </c>
      <c r="G16" s="95">
        <v>105.671498771499</v>
      </c>
      <c r="H16" s="95">
        <v>240</v>
      </c>
      <c r="I16" s="95">
        <v>344.1</v>
      </c>
      <c r="J16" s="95">
        <v>105.588709677419</v>
      </c>
      <c r="K16" s="95">
        <v>65</v>
      </c>
      <c r="L16" t="s" s="87">
        <v>44</v>
      </c>
      <c r="M16" s="95">
        <v>105.2</v>
      </c>
      <c r="N16" s="95">
        <v>44.8965921375922</v>
      </c>
      <c r="O16" s="95">
        <v>429.722850122850</v>
      </c>
      <c r="P16" s="95">
        <v>92.1267248157248</v>
      </c>
      <c r="Q16" s="95">
        <v>1.0145827027027</v>
      </c>
      <c r="R16" s="95">
        <v>476.204796919230</v>
      </c>
      <c r="S16" s="40">
        <v>3392.3</v>
      </c>
      <c r="T16" s="40">
        <v>146</v>
      </c>
      <c r="U16" s="40">
        <v>1</v>
      </c>
      <c r="V16" s="95">
        <v>57.2</v>
      </c>
      <c r="W16" s="95">
        <v>38.74</v>
      </c>
      <c r="X16" s="95">
        <v>50.8596</v>
      </c>
      <c r="Y16" s="95">
        <v>50.1</v>
      </c>
      <c r="Z16" s="97">
        <v>102</v>
      </c>
      <c r="AA16" s="109" cm="1">
        <f t="array" ref="AA16">Z16/1.01325</f>
        <v>100.666173205033</v>
      </c>
      <c r="AB16" s="110"/>
      <c r="AC16" s="110">
        <v>787</v>
      </c>
      <c r="AD16" s="110"/>
      <c r="AE16" s="110">
        <v>0.659</v>
      </c>
      <c r="AF16" s="110"/>
      <c r="AG16" s="110"/>
      <c r="AH16" s="111">
        <v>0.169</v>
      </c>
    </row>
    <row r="17" ht="15" customHeight="1">
      <c r="A17" s="37">
        <v>807</v>
      </c>
      <c r="B17" s="57">
        <v>39214</v>
      </c>
      <c r="C17" s="40">
        <v>3667</v>
      </c>
      <c r="D17" s="95">
        <v>12.7</v>
      </c>
      <c r="E17" s="95">
        <v>228</v>
      </c>
      <c r="F17" s="95">
        <v>336.7</v>
      </c>
      <c r="G17" s="95">
        <v>108.100063025210</v>
      </c>
      <c r="H17" s="95">
        <v>228</v>
      </c>
      <c r="I17" s="95">
        <v>343</v>
      </c>
      <c r="J17" s="95">
        <v>108.144838709678</v>
      </c>
      <c r="K17" s="95">
        <v>42</v>
      </c>
      <c r="L17" t="s" s="87">
        <v>44</v>
      </c>
      <c r="M17" s="95">
        <v>105.1</v>
      </c>
      <c r="N17" s="95">
        <v>49.8398718487395</v>
      </c>
      <c r="O17" s="95">
        <v>532.283025210084</v>
      </c>
      <c r="P17" s="95">
        <v>109.812176470588</v>
      </c>
      <c r="Q17" s="95">
        <v>1.37841785714286</v>
      </c>
      <c r="R17" s="95">
        <v>589.142653081022</v>
      </c>
      <c r="S17" s="40">
        <v>4228.8</v>
      </c>
      <c r="T17" s="40">
        <v>175.5</v>
      </c>
      <c r="U17" s="40">
        <v>1.4</v>
      </c>
      <c r="V17" s="95">
        <v>57.2</v>
      </c>
      <c r="W17" s="95">
        <v>38.74</v>
      </c>
      <c r="X17" s="95">
        <v>50.8596</v>
      </c>
      <c r="Y17" s="95">
        <v>50.1</v>
      </c>
      <c r="Z17" s="97">
        <v>103.8</v>
      </c>
      <c r="AA17" s="109" cm="1">
        <f t="array" ref="AA17">Z17/1.01325</f>
        <v>102.442635085122</v>
      </c>
      <c r="AB17" s="110"/>
      <c r="AC17" s="110">
        <v>787</v>
      </c>
      <c r="AD17" s="110"/>
      <c r="AE17" s="110">
        <v>0.659</v>
      </c>
      <c r="AF17" s="110"/>
      <c r="AG17" s="110"/>
      <c r="AH17" s="111">
        <v>0.162</v>
      </c>
    </row>
    <row r="18" ht="15" customHeight="1">
      <c r="A18" s="37">
        <v>807</v>
      </c>
      <c r="B18" s="57">
        <v>40043</v>
      </c>
      <c r="C18" s="40">
        <v>3579</v>
      </c>
      <c r="D18" s="95">
        <v>7.94</v>
      </c>
      <c r="E18" s="95">
        <v>259.608695652174</v>
      </c>
      <c r="F18" s="95">
        <v>365.86</v>
      </c>
      <c r="G18" s="95">
        <v>103.471414885777</v>
      </c>
      <c r="H18" s="95">
        <v>259</v>
      </c>
      <c r="I18" s="95">
        <v>365.9</v>
      </c>
      <c r="J18" s="95">
        <v>101.420322580645</v>
      </c>
      <c r="K18" s="95">
        <v>52</v>
      </c>
      <c r="L18" s="95">
        <v>27.2</v>
      </c>
      <c r="M18" s="95">
        <v>105.9</v>
      </c>
      <c r="N18" s="95">
        <v>28.0923095062637</v>
      </c>
      <c r="O18" s="95">
        <v>243.636698599853</v>
      </c>
      <c r="P18" s="95">
        <v>70.73221444362559</v>
      </c>
      <c r="Q18" s="95">
        <v>1.1444375092115</v>
      </c>
      <c r="R18" s="95">
        <v>257.635748275755</v>
      </c>
      <c r="S18" s="40">
        <v>1713.8</v>
      </c>
      <c r="T18" s="40">
        <v>117.3</v>
      </c>
      <c r="U18" s="40">
        <v>1.2</v>
      </c>
      <c r="V18" s="95">
        <v>62.5724</v>
      </c>
      <c r="W18" s="95">
        <v>41.231</v>
      </c>
      <c r="X18" t="s" s="87">
        <v>44</v>
      </c>
      <c r="Y18" t="s" s="87">
        <v>44</v>
      </c>
      <c r="Z18" s="97">
        <v>93.2</v>
      </c>
      <c r="AA18" s="109" cm="1">
        <f t="array" ref="AA18">Z18/1.01325</f>
        <v>91.9812484579324</v>
      </c>
      <c r="AB18" s="110"/>
      <c r="AC18" s="110">
        <v>793.7</v>
      </c>
      <c r="AD18" s="110"/>
      <c r="AE18" s="110">
        <v>0.661</v>
      </c>
      <c r="AF18" s="110"/>
      <c r="AG18" s="110"/>
      <c r="AH18" s="111">
        <v>0.23</v>
      </c>
    </row>
    <row r="19" ht="15" customHeight="1">
      <c r="A19" s="37">
        <v>807</v>
      </c>
      <c r="B19" s="57">
        <v>40047</v>
      </c>
      <c r="C19" s="40">
        <v>3579</v>
      </c>
      <c r="D19" s="95">
        <v>9.529999999999999</v>
      </c>
      <c r="E19" s="95">
        <v>239.423076923077</v>
      </c>
      <c r="F19" s="95">
        <v>342.27</v>
      </c>
      <c r="G19" s="95">
        <v>103.200465879265</v>
      </c>
      <c r="H19" s="95">
        <v>239</v>
      </c>
      <c r="I19" s="95">
        <v>342.3</v>
      </c>
      <c r="J19" s="95">
        <v>104.18</v>
      </c>
      <c r="K19" s="95">
        <v>58</v>
      </c>
      <c r="L19" s="95">
        <v>34.6</v>
      </c>
      <c r="M19" s="95">
        <v>105.7</v>
      </c>
      <c r="N19" s="95">
        <v>35.0997335958005</v>
      </c>
      <c r="O19" s="95">
        <v>313.851049868766</v>
      </c>
      <c r="P19" s="95">
        <v>79.5807362204726</v>
      </c>
      <c r="Q19" s="95">
        <v>1.65755531496063</v>
      </c>
      <c r="R19" s="95">
        <v>327.843000851640</v>
      </c>
      <c r="S19" s="40">
        <v>2353.5</v>
      </c>
      <c r="T19" s="40">
        <v>129.7</v>
      </c>
      <c r="U19" s="40">
        <v>1.7</v>
      </c>
      <c r="V19" s="95">
        <v>62.5724</v>
      </c>
      <c r="W19" s="95">
        <v>41.231</v>
      </c>
      <c r="X19" t="s" s="87">
        <v>44</v>
      </c>
      <c r="Y19" t="s" s="87">
        <v>44</v>
      </c>
      <c r="Z19" s="97">
        <v>92</v>
      </c>
      <c r="AA19" s="109" cm="1">
        <f t="array" ref="AA19">Z19/1.01325</f>
        <v>90.7969405378732</v>
      </c>
      <c r="AB19" s="110"/>
      <c r="AC19" s="110">
        <v>793.7</v>
      </c>
      <c r="AD19" s="110"/>
      <c r="AE19" s="110">
        <v>0.661</v>
      </c>
      <c r="AF19" s="110"/>
      <c r="AG19" s="110"/>
      <c r="AH19" s="111">
        <v>0.201</v>
      </c>
    </row>
    <row r="20" ht="15" customHeight="1">
      <c r="A20" s="37">
        <v>807</v>
      </c>
      <c r="B20" s="57">
        <v>40051</v>
      </c>
      <c r="C20" s="40">
        <v>3579</v>
      </c>
      <c r="D20" s="95">
        <v>11.11</v>
      </c>
      <c r="E20" s="95">
        <v>213.428571428571</v>
      </c>
      <c r="F20" s="95">
        <v>312.27</v>
      </c>
      <c r="G20" s="95">
        <v>103.187111375819</v>
      </c>
      <c r="H20" s="95">
        <v>212</v>
      </c>
      <c r="I20" s="95">
        <v>312.3</v>
      </c>
      <c r="J20" s="95">
        <v>103</v>
      </c>
      <c r="K20" s="95">
        <v>61</v>
      </c>
      <c r="L20" s="95">
        <v>41.2</v>
      </c>
      <c r="M20" s="95">
        <v>105.2</v>
      </c>
      <c r="N20" s="95">
        <v>41.1138159618821</v>
      </c>
      <c r="O20" s="95">
        <v>395.000595592615</v>
      </c>
      <c r="P20" s="95">
        <v>85.5020559857057</v>
      </c>
      <c r="Q20" s="95">
        <v>2.59160005955927</v>
      </c>
      <c r="R20" s="95">
        <v>410.017348223764</v>
      </c>
      <c r="S20" s="40">
        <v>3085.5</v>
      </c>
      <c r="T20" s="40">
        <v>139.7</v>
      </c>
      <c r="U20" s="40">
        <v>2.7</v>
      </c>
      <c r="V20" s="95">
        <v>62.5724</v>
      </c>
      <c r="W20" s="95">
        <v>41.231</v>
      </c>
      <c r="X20" t="s" s="87">
        <v>44</v>
      </c>
      <c r="Y20" t="s" s="87">
        <v>44</v>
      </c>
      <c r="Z20" s="97">
        <v>93.7</v>
      </c>
      <c r="AA20" s="109" cm="1">
        <f t="array" ref="AA20">Z20/1.01325</f>
        <v>92.4747100912904</v>
      </c>
      <c r="AB20" s="110"/>
      <c r="AC20" s="110">
        <v>793.7</v>
      </c>
      <c r="AD20" s="110"/>
      <c r="AE20" s="110">
        <v>0.661</v>
      </c>
      <c r="AF20" s="110"/>
      <c r="AG20" s="110"/>
      <c r="AH20" s="111">
        <v>0.172</v>
      </c>
    </row>
    <row r="21" ht="15" customHeight="1">
      <c r="A21" s="37">
        <v>807</v>
      </c>
      <c r="B21" s="57">
        <v>40055</v>
      </c>
      <c r="C21" s="40">
        <v>3579</v>
      </c>
      <c r="D21" s="95">
        <v>12.7</v>
      </c>
      <c r="E21" s="95">
        <v>194.242424242424</v>
      </c>
      <c r="F21" s="95">
        <v>291.74</v>
      </c>
      <c r="G21" s="95">
        <v>103.229928461933</v>
      </c>
      <c r="H21" s="95">
        <v>194</v>
      </c>
      <c r="I21" s="95">
        <v>291.7</v>
      </c>
      <c r="J21" s="95">
        <v>103.917419354839</v>
      </c>
      <c r="K21" s="95">
        <v>62</v>
      </c>
      <c r="L21" s="95">
        <v>43.7</v>
      </c>
      <c r="M21" s="95">
        <v>104.5</v>
      </c>
      <c r="N21" s="95">
        <v>44.1431732243229</v>
      </c>
      <c r="O21" s="95">
        <v>435.037301992846</v>
      </c>
      <c r="P21" s="95">
        <v>86.21457690342351</v>
      </c>
      <c r="Q21" s="95">
        <v>3.16014767501278</v>
      </c>
      <c r="R21" s="95">
        <v>449.645211467961</v>
      </c>
      <c r="S21" s="40">
        <v>3534.4</v>
      </c>
      <c r="T21" s="40">
        <v>137.7</v>
      </c>
      <c r="U21" s="40">
        <v>3.2</v>
      </c>
      <c r="V21" s="95">
        <v>62.5724</v>
      </c>
      <c r="W21" s="95">
        <v>41.231</v>
      </c>
      <c r="X21" t="s" s="87">
        <v>44</v>
      </c>
      <c r="Y21" t="s" s="87">
        <v>44</v>
      </c>
      <c r="Z21" s="97">
        <v>89.59999999999999</v>
      </c>
      <c r="AA21" s="109" cm="1">
        <f t="array" ref="AA21">Z21/1.01325</f>
        <v>88.4283246977547</v>
      </c>
      <c r="AB21" s="110"/>
      <c r="AC21" s="110">
        <v>793.7</v>
      </c>
      <c r="AD21" s="110"/>
      <c r="AE21" s="110">
        <v>0.661</v>
      </c>
      <c r="AF21" s="110"/>
      <c r="AG21" s="110"/>
      <c r="AH21" s="111">
        <v>0.157</v>
      </c>
    </row>
    <row r="22" ht="15" customHeight="1">
      <c r="A22" s="37">
        <v>807</v>
      </c>
      <c r="B22" s="57">
        <v>40059</v>
      </c>
      <c r="C22" s="40">
        <v>3579</v>
      </c>
      <c r="D22" s="95">
        <v>14.29</v>
      </c>
      <c r="E22" s="95">
        <v>166</v>
      </c>
      <c r="F22" s="95">
        <v>263.03</v>
      </c>
      <c r="G22" s="95">
        <v>107.377559709242</v>
      </c>
      <c r="H22" s="95">
        <v>166</v>
      </c>
      <c r="I22" s="95">
        <v>263</v>
      </c>
      <c r="J22" s="95">
        <v>107.536666666667</v>
      </c>
      <c r="K22" s="95">
        <v>63</v>
      </c>
      <c r="L22" s="95">
        <v>49.2</v>
      </c>
      <c r="M22" s="95">
        <v>103.4</v>
      </c>
      <c r="N22" s="95">
        <v>49.7538452751817</v>
      </c>
      <c r="O22" s="95">
        <v>494.590861889927</v>
      </c>
      <c r="P22" s="95">
        <v>88.07178712357219</v>
      </c>
      <c r="Q22" s="95">
        <v>3.51061765316719</v>
      </c>
      <c r="R22" s="95">
        <v>509.046952774559</v>
      </c>
      <c r="S22" s="40">
        <v>4071.6</v>
      </c>
      <c r="T22" s="40">
        <v>142.2</v>
      </c>
      <c r="U22" s="40">
        <v>3.6</v>
      </c>
      <c r="V22" s="95">
        <v>62.5724</v>
      </c>
      <c r="W22" s="95">
        <v>41.231</v>
      </c>
      <c r="X22" t="s" s="87">
        <v>44</v>
      </c>
      <c r="Y22" t="s" s="87">
        <v>44</v>
      </c>
      <c r="Z22" s="97">
        <v>90.3</v>
      </c>
      <c r="AA22" s="109" cm="1">
        <f t="array" ref="AA22">Z22/1.01325</f>
        <v>89.11917098445601</v>
      </c>
      <c r="AB22" s="110"/>
      <c r="AC22" s="110">
        <v>793.7</v>
      </c>
      <c r="AD22" s="110"/>
      <c r="AE22" s="110">
        <v>0.661</v>
      </c>
      <c r="AF22" s="110"/>
      <c r="AG22" s="110"/>
      <c r="AH22" s="111">
        <v>0.141</v>
      </c>
    </row>
    <row r="23" ht="15" customHeight="1">
      <c r="A23" s="37">
        <v>807</v>
      </c>
      <c r="B23" s="57">
        <v>40795</v>
      </c>
      <c r="C23" s="40">
        <v>3582.5</v>
      </c>
      <c r="D23" s="95">
        <v>9.529999999999999</v>
      </c>
      <c r="E23" s="95">
        <v>206</v>
      </c>
      <c r="F23" s="95">
        <v>292</v>
      </c>
      <c r="G23" s="95">
        <v>105.507978385251</v>
      </c>
      <c r="H23" s="104">
        <v>206</v>
      </c>
      <c r="I23" s="95">
        <v>292</v>
      </c>
      <c r="J23" s="96">
        <v>105.03</v>
      </c>
      <c r="K23" s="95">
        <v>56</v>
      </c>
      <c r="L23" s="95">
        <v>37.4</v>
      </c>
      <c r="M23" s="95">
        <v>104.6</v>
      </c>
      <c r="N23" s="95">
        <v>37.7917794221282</v>
      </c>
      <c r="O23" s="95">
        <v>273.4</v>
      </c>
      <c r="P23" s="95">
        <v>59.9</v>
      </c>
      <c r="Q23" s="95">
        <v>0.8</v>
      </c>
      <c r="R23" s="95">
        <v>285.53654</v>
      </c>
      <c r="S23" s="40">
        <v>2085</v>
      </c>
      <c r="T23" s="40">
        <v>94</v>
      </c>
      <c r="U23" s="40">
        <v>0.7</v>
      </c>
      <c r="V23" s="95">
        <v>62.6</v>
      </c>
      <c r="W23" s="95"/>
      <c r="X23" s="95">
        <v>49.7</v>
      </c>
      <c r="Y23" s="95"/>
      <c r="Z23" s="97">
        <v>92.09999999999999</v>
      </c>
      <c r="AA23" s="112" cm="1">
        <f t="array" ref="AA23">Z23/1.01325</f>
        <v>90.89563286454479</v>
      </c>
      <c r="AB23" s="113"/>
      <c r="AC23" s="113">
        <v>783</v>
      </c>
      <c r="AD23" s="113"/>
      <c r="AE23" s="113">
        <v>0.672</v>
      </c>
      <c r="AF23" s="113"/>
      <c r="AG23" s="113"/>
      <c r="AH23" s="111">
        <v>0.172</v>
      </c>
    </row>
    <row r="24" ht="15" customHeight="1">
      <c r="A24" s="37">
        <v>20503</v>
      </c>
      <c r="B24" s="57">
        <v>39358</v>
      </c>
      <c r="C24" s="40">
        <v>3653</v>
      </c>
      <c r="D24" s="95">
        <v>7.94</v>
      </c>
      <c r="E24" s="95">
        <v>323.1</v>
      </c>
      <c r="F24" s="95">
        <v>440.5</v>
      </c>
      <c r="G24" s="95">
        <v>108.886435323383</v>
      </c>
      <c r="H24" s="95">
        <v>314</v>
      </c>
      <c r="I24" s="95">
        <v>442.7</v>
      </c>
      <c r="J24" s="95">
        <v>99.1673548387097</v>
      </c>
      <c r="K24" s="95">
        <v>37</v>
      </c>
      <c r="L24" s="95">
        <v>14</v>
      </c>
      <c r="M24" s="95">
        <v>105.42</v>
      </c>
      <c r="N24" s="95">
        <v>16.2046860696517</v>
      </c>
      <c r="O24" s="95">
        <v>310.780641791045</v>
      </c>
      <c r="P24" s="95">
        <v>150.0747039801</v>
      </c>
      <c r="Q24" s="95">
        <v>1.20348435323383</v>
      </c>
      <c r="R24" s="95">
        <v>337.720254639826</v>
      </c>
      <c r="S24" s="40">
        <v>1784</v>
      </c>
      <c r="T24" s="40">
        <v>492.8</v>
      </c>
      <c r="U24" s="40">
        <v>2.5</v>
      </c>
      <c r="V24" s="95">
        <v>63.6</v>
      </c>
      <c r="W24" s="95">
        <v>53.27</v>
      </c>
      <c r="X24" s="95">
        <v>56.7</v>
      </c>
      <c r="Y24" s="95">
        <v>56.8</v>
      </c>
      <c r="Z24" s="97">
        <v>99.40000000000001</v>
      </c>
      <c r="AA24" s="97" cm="1">
        <f t="array" ref="AA24">Z24/1.01325</f>
        <v>98.1001727115717</v>
      </c>
      <c r="AB24" s="98" cm="1">
        <f t="array" ref="AB24">AE24*1.204</f>
        <v>0.787416</v>
      </c>
      <c r="AC24" s="74">
        <v>798</v>
      </c>
      <c r="AD24" s="74">
        <v>1000</v>
      </c>
      <c r="AE24" s="98">
        <v>0.654</v>
      </c>
      <c r="AF24" s="102" cm="1">
        <f t="array" ref="AF24">(O24*1000*AB24+P24*AC24+Q24*AD24)/24/3600</f>
        <v>4.23236976812374</v>
      </c>
      <c r="AG24" s="97">
        <v>385.415949386802</v>
      </c>
      <c r="AH24" s="103"/>
    </row>
    <row r="25" ht="15" customHeight="1">
      <c r="A25" s="37">
        <v>20503</v>
      </c>
      <c r="B25" s="57">
        <v>39359</v>
      </c>
      <c r="C25" s="40">
        <v>3653</v>
      </c>
      <c r="D25" s="95">
        <v>9.529999999999999</v>
      </c>
      <c r="E25" s="95">
        <v>272.692307692308</v>
      </c>
      <c r="F25" s="95">
        <v>388.7</v>
      </c>
      <c r="G25" s="95">
        <v>89.6528393524285</v>
      </c>
      <c r="H25" s="95">
        <v>268</v>
      </c>
      <c r="I25" s="95">
        <v>388.6</v>
      </c>
      <c r="J25" s="95">
        <v>86.7471935483871</v>
      </c>
      <c r="K25" s="95">
        <v>48</v>
      </c>
      <c r="L25" s="95">
        <v>21</v>
      </c>
      <c r="M25" s="95">
        <v>105.32</v>
      </c>
      <c r="N25" s="95">
        <v>22.0310635118307</v>
      </c>
      <c r="O25" s="95">
        <v>375.366899128269</v>
      </c>
      <c r="P25" s="95">
        <v>138.977372353674</v>
      </c>
      <c r="Q25" s="95">
        <v>0.859212092154421</v>
      </c>
      <c r="R25" s="95">
        <v>398.396308939365</v>
      </c>
      <c r="S25" s="40">
        <v>3127</v>
      </c>
      <c r="T25" s="40">
        <v>238.3</v>
      </c>
      <c r="U25" s="40">
        <v>1</v>
      </c>
      <c r="V25" s="95">
        <v>63.6</v>
      </c>
      <c r="W25" s="95">
        <v>53.27</v>
      </c>
      <c r="X25" s="95">
        <v>56.7</v>
      </c>
      <c r="Y25" s="95">
        <v>56.8</v>
      </c>
      <c r="Z25" s="97">
        <v>99.7</v>
      </c>
      <c r="AA25" s="97" cm="1">
        <f t="array" ref="AA25">Z25/1.01325</f>
        <v>98.3962496915865</v>
      </c>
      <c r="AB25" s="98" cm="1">
        <f t="array" ref="AB25">AE25*1.204</f>
        <v>0.787416</v>
      </c>
      <c r="AC25" s="74">
        <v>798</v>
      </c>
      <c r="AD25" s="74">
        <v>1000</v>
      </c>
      <c r="AE25" s="98">
        <v>0.654</v>
      </c>
      <c r="AF25" s="102" cm="1">
        <f t="array" ref="AF25">(O25*1000*AB25+P25*AC25+Q25*AD25)/24/3600</f>
        <v>4.71450298002745</v>
      </c>
      <c r="AG25" s="97">
        <v>295.502879982225</v>
      </c>
      <c r="AH25" s="103"/>
    </row>
    <row r="26" ht="15" customHeight="1">
      <c r="A26" s="37">
        <v>20503</v>
      </c>
      <c r="B26" s="57">
        <v>39360</v>
      </c>
      <c r="C26" s="40">
        <v>3653</v>
      </c>
      <c r="D26" s="95">
        <v>12.7</v>
      </c>
      <c r="E26" s="95">
        <v>202.153846153846</v>
      </c>
      <c r="F26" s="95">
        <v>308.8</v>
      </c>
      <c r="G26" s="95">
        <v>97.8770452488688</v>
      </c>
      <c r="H26" s="95">
        <v>197</v>
      </c>
      <c r="I26" s="95">
        <v>308.7</v>
      </c>
      <c r="J26" s="95">
        <v>92.4579032258065</v>
      </c>
      <c r="K26" s="95">
        <v>54</v>
      </c>
      <c r="L26" s="95">
        <v>35</v>
      </c>
      <c r="M26" s="95">
        <v>105.22</v>
      </c>
      <c r="N26" s="95">
        <v>35.4062006033182</v>
      </c>
      <c r="O26" s="95">
        <v>473.779185520362</v>
      </c>
      <c r="P26" s="95">
        <v>151.792126696833</v>
      </c>
      <c r="Q26" s="95">
        <v>0.696574479638008</v>
      </c>
      <c r="R26" s="95">
        <v>496.806747714751</v>
      </c>
      <c r="S26" s="40">
        <v>3895.7</v>
      </c>
      <c r="T26" s="40">
        <v>245</v>
      </c>
      <c r="U26" s="40">
        <v>0.8</v>
      </c>
      <c r="V26" s="95">
        <v>63.6</v>
      </c>
      <c r="W26" s="95">
        <v>53.27</v>
      </c>
      <c r="X26" s="95">
        <v>56.7</v>
      </c>
      <c r="Y26" s="95">
        <v>56.8</v>
      </c>
      <c r="Z26" s="97">
        <v>99.2</v>
      </c>
      <c r="AA26" s="97" cm="1">
        <f t="array" ref="AA26">Z26/1.01325</f>
        <v>97.9027880582285</v>
      </c>
      <c r="AB26" s="98" cm="1">
        <f t="array" ref="AB26">AE26*1.204</f>
        <v>0.787416</v>
      </c>
      <c r="AC26" s="74">
        <v>798</v>
      </c>
      <c r="AD26" s="74">
        <v>1000</v>
      </c>
      <c r="AE26" s="98">
        <v>0.654</v>
      </c>
      <c r="AF26" s="102" cm="1">
        <f t="array" ref="AF26">(O26*1000*AB26+P26*AC26+Q26*AD26)/24/3600</f>
        <v>5.72787040196079</v>
      </c>
      <c r="AG26" s="97">
        <v>255.681127411250</v>
      </c>
      <c r="AH26" s="103"/>
    </row>
    <row r="27" ht="15" customHeight="1">
      <c r="A27" s="37">
        <v>20503</v>
      </c>
      <c r="B27" s="57">
        <v>39361</v>
      </c>
      <c r="C27" s="40">
        <v>3653</v>
      </c>
      <c r="D27" s="95">
        <v>14.29</v>
      </c>
      <c r="E27" s="95">
        <v>165.846153846154</v>
      </c>
      <c r="F27" s="95">
        <v>270.5</v>
      </c>
      <c r="G27" s="95">
        <v>79.95274967741931</v>
      </c>
      <c r="H27" s="95">
        <v>162</v>
      </c>
      <c r="I27" s="95">
        <v>270.4</v>
      </c>
      <c r="J27" s="95">
        <v>81.1467741935484</v>
      </c>
      <c r="K27" s="95">
        <v>52</v>
      </c>
      <c r="L27" s="95">
        <v>34</v>
      </c>
      <c r="M27" s="95">
        <v>105.12</v>
      </c>
      <c r="N27" s="95">
        <v>33.8257793548387</v>
      </c>
      <c r="O27" s="95">
        <v>488.090219354839</v>
      </c>
      <c r="P27" s="95">
        <v>143.145832258065</v>
      </c>
      <c r="Q27" s="95">
        <v>0.426721419354839</v>
      </c>
      <c r="R27" s="95">
        <v>509.734295913677</v>
      </c>
      <c r="S27" s="40">
        <v>5129</v>
      </c>
      <c r="T27" s="40">
        <v>221.2</v>
      </c>
      <c r="U27" s="40">
        <v>0.4</v>
      </c>
      <c r="V27" s="95">
        <v>63.6</v>
      </c>
      <c r="W27" s="95">
        <v>53.27</v>
      </c>
      <c r="X27" s="95">
        <v>56.7</v>
      </c>
      <c r="Y27" s="95">
        <v>56.8</v>
      </c>
      <c r="Z27" s="97">
        <v>98.90000000000001</v>
      </c>
      <c r="AA27" s="97" cm="1">
        <f t="array" ref="AA27">Z27/1.01325</f>
        <v>97.60671107821371</v>
      </c>
      <c r="AB27" s="98" cm="1">
        <f t="array" ref="AB27">AE27*1.204</f>
        <v>0.787416</v>
      </c>
      <c r="AC27" s="74">
        <v>798</v>
      </c>
      <c r="AD27" s="74">
        <v>1000</v>
      </c>
      <c r="AE27" s="98">
        <v>0.654</v>
      </c>
      <c r="AF27" s="102" cm="1">
        <f t="array" ref="AF27">(O27*1000*AB27+P27*AC27+Q27*AD27)/24/3600</f>
        <v>5.77531416348149</v>
      </c>
      <c r="AG27" s="97">
        <v>233.960444196585</v>
      </c>
      <c r="AH27" s="103"/>
    </row>
    <row r="28" ht="15" customHeight="1">
      <c r="A28" s="37">
        <v>20503</v>
      </c>
      <c r="B28" s="57">
        <v>39362</v>
      </c>
      <c r="C28" s="40">
        <v>3653</v>
      </c>
      <c r="D28" s="95">
        <v>15.88</v>
      </c>
      <c r="E28" s="95">
        <v>138.866666666667</v>
      </c>
      <c r="F28" s="95">
        <v>239.3</v>
      </c>
      <c r="G28" s="95">
        <v>80.7329323725055</v>
      </c>
      <c r="H28" s="95">
        <v>136</v>
      </c>
      <c r="I28" s="95">
        <v>239.3</v>
      </c>
      <c r="J28" s="95">
        <v>79.5411290322581</v>
      </c>
      <c r="K28" s="95">
        <v>51</v>
      </c>
      <c r="L28" s="95">
        <v>38</v>
      </c>
      <c r="M28" s="95">
        <v>105.02</v>
      </c>
      <c r="N28" s="95">
        <v>37.2622017738359</v>
      </c>
      <c r="O28" s="95">
        <v>492.514301552106</v>
      </c>
      <c r="P28" s="95">
        <v>137.675665188470</v>
      </c>
      <c r="Q28" s="95">
        <v>0.40853623059867</v>
      </c>
      <c r="R28" s="95">
        <v>513.3312706648341</v>
      </c>
      <c r="S28" s="40">
        <v>5235.6</v>
      </c>
      <c r="T28" s="40">
        <v>209.7</v>
      </c>
      <c r="U28" s="40">
        <v>0.4</v>
      </c>
      <c r="V28" s="95">
        <v>63.6</v>
      </c>
      <c r="W28" s="95">
        <v>53.27</v>
      </c>
      <c r="X28" s="95">
        <v>56.7</v>
      </c>
      <c r="Y28" s="95">
        <v>56.8</v>
      </c>
      <c r="Z28" s="97">
        <v>100.8</v>
      </c>
      <c r="AA28" s="97" cm="1">
        <f t="array" ref="AA28">Z28/1.01325</f>
        <v>99.48186528497411</v>
      </c>
      <c r="AB28" s="98" cm="1">
        <f t="array" ref="AB28">AE28*1.204</f>
        <v>0.787416</v>
      </c>
      <c r="AC28" s="74">
        <v>798</v>
      </c>
      <c r="AD28" s="74">
        <v>1000</v>
      </c>
      <c r="AE28" s="98">
        <v>0.654</v>
      </c>
      <c r="AF28" s="102" cm="1">
        <f t="array" ref="AF28">(O28*1000*AB28+P28*AC28+Q28*AD28)/24/3600</f>
        <v>5.76489998057813</v>
      </c>
      <c r="AG28" s="97">
        <v>223.109460984179</v>
      </c>
      <c r="AH28" s="103"/>
    </row>
    <row r="29" ht="15" customHeight="1">
      <c r="A29" s="37">
        <v>20503</v>
      </c>
      <c r="B29" s="57">
        <v>39363</v>
      </c>
      <c r="C29" s="40">
        <v>3653</v>
      </c>
      <c r="D29" s="95">
        <v>14.29</v>
      </c>
      <c r="E29" s="95">
        <v>149.888888888889</v>
      </c>
      <c r="F29" s="95">
        <v>251.3</v>
      </c>
      <c r="G29" s="95">
        <v>73.3066380255943</v>
      </c>
      <c r="H29" s="95">
        <v>151</v>
      </c>
      <c r="I29" s="95">
        <v>285.3</v>
      </c>
      <c r="J29" s="95">
        <v>72.5792580645162</v>
      </c>
      <c r="K29" s="95">
        <v>50</v>
      </c>
      <c r="L29" s="95"/>
      <c r="M29" s="95">
        <v>100.21</v>
      </c>
      <c r="N29" s="95">
        <v>31.9941663619745</v>
      </c>
      <c r="O29" s="95">
        <v>459.306215722121</v>
      </c>
      <c r="P29" s="95">
        <v>114.878435100548</v>
      </c>
      <c r="Q29" s="95">
        <v>0.341010255941499</v>
      </c>
      <c r="R29" s="95">
        <v>476.676176119579</v>
      </c>
      <c r="S29" s="40">
        <v>5209.5</v>
      </c>
      <c r="T29" s="40">
        <v>172.5</v>
      </c>
      <c r="U29" s="40">
        <v>0.3</v>
      </c>
      <c r="V29" s="95">
        <v>63.6</v>
      </c>
      <c r="W29" s="95">
        <v>53.27</v>
      </c>
      <c r="X29" s="95">
        <v>56.7</v>
      </c>
      <c r="Y29" s="95">
        <v>56.8</v>
      </c>
      <c r="Z29" s="97">
        <v>97</v>
      </c>
      <c r="AA29" s="97" cm="1">
        <f t="array" ref="AA29">Z29/1.01325</f>
        <v>95.73155687145319</v>
      </c>
      <c r="AB29" s="98" cm="1">
        <f t="array" ref="AB29">AE29*1.204</f>
        <v>0.787416</v>
      </c>
      <c r="AC29" s="74">
        <v>798</v>
      </c>
      <c r="AD29" s="74">
        <v>1000</v>
      </c>
      <c r="AE29" s="98">
        <v>0.654</v>
      </c>
      <c r="AF29" s="102" cm="1">
        <f t="array" ref="AF29">(O29*1000*AB29+P29*AC29+Q29*AD29)/24/3600</f>
        <v>5.25091509982903</v>
      </c>
      <c r="AG29" s="97">
        <v>199.627612255180</v>
      </c>
      <c r="AH29" s="103"/>
    </row>
    <row r="30" ht="15" customHeight="1">
      <c r="A30" s="37">
        <v>20503</v>
      </c>
      <c r="B30" s="57">
        <v>39364</v>
      </c>
      <c r="C30" s="40">
        <v>3653</v>
      </c>
      <c r="D30" s="95">
        <v>11.11</v>
      </c>
      <c r="E30" s="95">
        <v>191.411764705882</v>
      </c>
      <c r="F30" s="95">
        <v>296.8</v>
      </c>
      <c r="G30" s="95">
        <v>76.5720676470589</v>
      </c>
      <c r="H30" s="95">
        <v>192</v>
      </c>
      <c r="I30" s="95">
        <v>296.8</v>
      </c>
      <c r="J30" s="95">
        <v>76.81951612903229</v>
      </c>
      <c r="K30" s="95">
        <v>50</v>
      </c>
      <c r="L30" s="95"/>
      <c r="M30" s="95">
        <v>102.38</v>
      </c>
      <c r="N30" s="95">
        <v>24.8019754901961</v>
      </c>
      <c r="O30" s="95">
        <v>355.015450980392</v>
      </c>
      <c r="P30" s="95">
        <v>109.274448039216</v>
      </c>
      <c r="Q30" s="95">
        <v>0.329124098039216</v>
      </c>
      <c r="R30" s="95">
        <v>371.538076648020</v>
      </c>
      <c r="S30" s="40">
        <v>3705.5</v>
      </c>
      <c r="T30" s="40">
        <v>164</v>
      </c>
      <c r="U30" s="40">
        <v>0.3</v>
      </c>
      <c r="V30" s="95">
        <v>63.6</v>
      </c>
      <c r="W30" s="95">
        <v>53.27</v>
      </c>
      <c r="X30" s="95">
        <v>56.7</v>
      </c>
      <c r="Y30" s="95">
        <v>56.8</v>
      </c>
      <c r="Z30" s="97">
        <v>98</v>
      </c>
      <c r="AA30" s="97" cm="1">
        <f t="array" ref="AA30">Z30/1.01325</f>
        <v>96.7184801381693</v>
      </c>
      <c r="AB30" s="98" cm="1">
        <f t="array" ref="AB30">AE30*1.204</f>
        <v>0.787416</v>
      </c>
      <c r="AC30" s="74">
        <v>798</v>
      </c>
      <c r="AD30" s="74">
        <v>1000</v>
      </c>
      <c r="AE30" s="98">
        <v>0.654</v>
      </c>
      <c r="AF30" s="102" cm="1">
        <f t="array" ref="AF30">(O30*1000*AB30+P30*AC30+Q30*AD30)/24/3600</f>
        <v>4.24855300905683</v>
      </c>
      <c r="AG30" s="97">
        <v>245.683357487208</v>
      </c>
      <c r="AH30" s="103"/>
    </row>
    <row r="31" ht="15" customHeight="1">
      <c r="A31" s="37">
        <v>20503</v>
      </c>
      <c r="B31" s="57">
        <v>39614</v>
      </c>
      <c r="C31" s="40">
        <v>3650</v>
      </c>
      <c r="D31" s="95">
        <v>7.94</v>
      </c>
      <c r="E31" s="95">
        <v>337.108108108108</v>
      </c>
      <c r="F31" s="95">
        <v>458.6</v>
      </c>
      <c r="G31" s="95">
        <v>91.04554516129051</v>
      </c>
      <c r="H31" s="95">
        <v>333</v>
      </c>
      <c r="I31" s="95">
        <v>458.5</v>
      </c>
      <c r="J31" s="95">
        <v>89.43367741935489</v>
      </c>
      <c r="K31" s="95">
        <v>60</v>
      </c>
      <c r="L31" s="95">
        <v>90.3</v>
      </c>
      <c r="M31" s="95">
        <v>105.6</v>
      </c>
      <c r="N31" s="95">
        <v>31.1777225806451</v>
      </c>
      <c r="O31" s="95">
        <v>287.950294930876</v>
      </c>
      <c r="P31" s="95">
        <v>106.662689861751</v>
      </c>
      <c r="Q31" s="95">
        <v>0.487666170506913</v>
      </c>
      <c r="R31" s="95">
        <v>306.243433908336</v>
      </c>
      <c r="S31" s="40">
        <v>2519.8</v>
      </c>
      <c r="T31" s="40">
        <v>163</v>
      </c>
      <c r="U31" s="40">
        <v>0.5</v>
      </c>
      <c r="V31" s="95">
        <v>63.6</v>
      </c>
      <c r="W31" s="95">
        <v>47.33</v>
      </c>
      <c r="X31" s="95">
        <v>55.4</v>
      </c>
      <c r="Y31" s="95">
        <v>55.2</v>
      </c>
      <c r="Z31" s="97">
        <v>89.59999999999999</v>
      </c>
      <c r="AA31" s="97" cm="1">
        <f t="array" ref="AA31">Z31/1.01325</f>
        <v>88.4283246977547</v>
      </c>
      <c r="AB31" s="98" cm="1">
        <f t="array" ref="AB31">AE31*1.204</f>
        <v>0.821344474879227</v>
      </c>
      <c r="AC31" s="74">
        <v>795</v>
      </c>
      <c r="AD31" s="74">
        <v>1000</v>
      </c>
      <c r="AE31" s="98">
        <v>0.682179796411318</v>
      </c>
      <c r="AF31" s="102" cm="1">
        <f t="array" ref="AF31">(O31*1000*AB31+P31*AC31+Q31*AD31)/24/3600</f>
        <v>3.72443157861016</v>
      </c>
      <c r="AG31" s="97">
        <v>294.587295099189</v>
      </c>
      <c r="AH31" s="103"/>
    </row>
    <row r="32" ht="15" customHeight="1">
      <c r="A32" s="37">
        <v>20503</v>
      </c>
      <c r="B32" s="57">
        <v>39624</v>
      </c>
      <c r="C32" s="40">
        <v>3650</v>
      </c>
      <c r="D32" s="95">
        <v>9.529999999999999</v>
      </c>
      <c r="E32" s="95">
        <v>325.842105263158</v>
      </c>
      <c r="F32" s="95">
        <v>452.8</v>
      </c>
      <c r="G32" s="95">
        <v>97.7879954873648</v>
      </c>
      <c r="H32" s="95">
        <v>325</v>
      </c>
      <c r="I32" s="95">
        <v>452.7</v>
      </c>
      <c r="J32" s="95">
        <v>98.1790645161289</v>
      </c>
      <c r="K32" s="95">
        <v>66</v>
      </c>
      <c r="L32" s="95">
        <v>95.5</v>
      </c>
      <c r="M32" s="95">
        <v>105.49</v>
      </c>
      <c r="N32" s="95">
        <v>40.511940433213</v>
      </c>
      <c r="O32" s="95">
        <v>402.789178700361</v>
      </c>
      <c r="P32" s="95">
        <v>143.005731046932</v>
      </c>
      <c r="Q32" s="95">
        <v>2.1840857400722</v>
      </c>
      <c r="R32" s="95">
        <v>429.876648246390</v>
      </c>
      <c r="S32" s="40">
        <v>3517.8</v>
      </c>
      <c r="T32" s="40">
        <v>218.9</v>
      </c>
      <c r="U32" s="40">
        <v>2.2</v>
      </c>
      <c r="V32" s="95">
        <v>63.6</v>
      </c>
      <c r="W32" s="95">
        <v>47.33</v>
      </c>
      <c r="X32" s="95">
        <v>55.4</v>
      </c>
      <c r="Y32" s="95">
        <v>55.2</v>
      </c>
      <c r="Z32" s="97">
        <v>85.5</v>
      </c>
      <c r="AA32" s="97" cm="1">
        <f t="array" ref="AA32">Z32/1.01325</f>
        <v>84.3819393042191</v>
      </c>
      <c r="AB32" s="98" cm="1">
        <f t="array" ref="AB32">AE32*1.204</f>
        <v>0.821344474879227</v>
      </c>
      <c r="AC32" s="74">
        <v>795</v>
      </c>
      <c r="AD32" s="74">
        <v>1000</v>
      </c>
      <c r="AE32" s="98">
        <v>0.682179796411318</v>
      </c>
      <c r="AF32" s="102" cm="1">
        <f t="array" ref="AF32">(O32*1000*AB32+P32*AC32+Q32*AD32)/24/3600</f>
        <v>5.17016560635493</v>
      </c>
      <c r="AG32" s="97">
        <v>282.244409730946</v>
      </c>
      <c r="AH32" s="103"/>
    </row>
    <row r="33" ht="15" customHeight="1">
      <c r="A33" s="37">
        <v>20503</v>
      </c>
      <c r="B33" s="57">
        <v>39626</v>
      </c>
      <c r="C33" s="40">
        <v>3650</v>
      </c>
      <c r="D33" s="95">
        <v>12.7</v>
      </c>
      <c r="E33" s="95">
        <v>299.555555555556</v>
      </c>
      <c r="F33" s="95">
        <v>437.3</v>
      </c>
      <c r="G33" s="95">
        <v>103.108052208835</v>
      </c>
      <c r="H33" s="95">
        <v>299</v>
      </c>
      <c r="I33" s="95">
        <v>437.2</v>
      </c>
      <c r="J33" s="95">
        <v>105.977096774193</v>
      </c>
      <c r="K33" s="95">
        <v>74</v>
      </c>
      <c r="L33" s="95">
        <v>103.6</v>
      </c>
      <c r="M33" s="95">
        <v>105.47</v>
      </c>
      <c r="N33" s="95">
        <v>51.3792198795181</v>
      </c>
      <c r="O33" s="95">
        <v>654.562299196787</v>
      </c>
      <c r="P33" s="95">
        <v>230.979759036145</v>
      </c>
      <c r="Q33" s="95">
        <v>4.55607068273093</v>
      </c>
      <c r="R33" s="95">
        <v>692.794005387952</v>
      </c>
      <c r="S33" s="40">
        <v>5599.8</v>
      </c>
      <c r="T33" s="40">
        <v>354.6</v>
      </c>
      <c r="U33" s="40">
        <v>4.7</v>
      </c>
      <c r="V33" s="95">
        <v>63.6</v>
      </c>
      <c r="W33" s="95">
        <v>47.33</v>
      </c>
      <c r="X33" s="95">
        <v>55.4</v>
      </c>
      <c r="Y33" s="95">
        <v>55.2</v>
      </c>
      <c r="Z33" s="97">
        <v>93.8</v>
      </c>
      <c r="AA33" s="97" cm="1">
        <f t="array" ref="AA33">Z33/1.01325</f>
        <v>92.573402417962</v>
      </c>
      <c r="AB33" s="98" cm="1">
        <f t="array" ref="AB33">AE33*1.204</f>
        <v>0.821344474879227</v>
      </c>
      <c r="AC33" s="74">
        <v>795</v>
      </c>
      <c r="AD33" s="74">
        <v>1000</v>
      </c>
      <c r="AE33" s="98">
        <v>0.682179796411318</v>
      </c>
      <c r="AF33" s="102" cm="1">
        <f t="array" ref="AF33">(O33*1000*AB33+P33*AC33+Q33*AD33)/24/3600</f>
        <v>8.40053364613415</v>
      </c>
      <c r="AG33" s="97">
        <v>280.561529437305</v>
      </c>
      <c r="AH33" s="103"/>
    </row>
    <row r="34" ht="15" customHeight="1">
      <c r="A34" s="37">
        <v>20503</v>
      </c>
      <c r="B34" s="57">
        <v>39628</v>
      </c>
      <c r="C34" s="40">
        <v>3650</v>
      </c>
      <c r="D34" s="95">
        <v>14.29</v>
      </c>
      <c r="E34" s="95">
        <v>280.333333333333</v>
      </c>
      <c r="F34" s="95">
        <v>426.2</v>
      </c>
      <c r="G34" s="95">
        <v>107.062626146789</v>
      </c>
      <c r="H34" s="95">
        <v>280</v>
      </c>
      <c r="I34" s="95">
        <v>426.1</v>
      </c>
      <c r="J34" s="95">
        <v>106.771290322581</v>
      </c>
      <c r="K34" s="95">
        <v>75</v>
      </c>
      <c r="L34" s="95">
        <v>106.8</v>
      </c>
      <c r="M34" s="95">
        <v>105.42</v>
      </c>
      <c r="N34" s="95">
        <v>52.7627981651377</v>
      </c>
      <c r="O34" s="95">
        <v>742.114254587156</v>
      </c>
      <c r="P34" s="95">
        <v>272.769610091743</v>
      </c>
      <c r="Q34" s="95">
        <v>6.24633383027523</v>
      </c>
      <c r="R34" s="95">
        <v>787.263871391170</v>
      </c>
      <c r="S34" s="40">
        <v>6020.6</v>
      </c>
      <c r="T34" s="40">
        <v>421.6</v>
      </c>
      <c r="U34" s="40">
        <v>6.4</v>
      </c>
      <c r="V34" s="95">
        <v>63.6</v>
      </c>
      <c r="W34" s="95">
        <v>47.33</v>
      </c>
      <c r="X34" s="95">
        <v>55.4</v>
      </c>
      <c r="Y34" s="95">
        <v>55.2</v>
      </c>
      <c r="Z34" s="97">
        <v>92.3</v>
      </c>
      <c r="AA34" s="97" cm="1">
        <f t="array" ref="AA34">Z34/1.01325</f>
        <v>91.093017517888</v>
      </c>
      <c r="AB34" s="98" cm="1">
        <f t="array" ref="AB34">AE34*1.204</f>
        <v>0.821344474879227</v>
      </c>
      <c r="AC34" s="74">
        <v>795</v>
      </c>
      <c r="AD34" s="74">
        <v>1000</v>
      </c>
      <c r="AE34" s="98">
        <v>0.682179796411318</v>
      </c>
      <c r="AF34" s="102" cm="1">
        <f t="array" ref="AF34">(O34*1000*AB34+P34*AC34+Q34*AD34)/24/3600</f>
        <v>9.63691685865148</v>
      </c>
      <c r="AG34" s="97">
        <v>292.240696615063</v>
      </c>
      <c r="AH34" s="103"/>
    </row>
    <row r="35" ht="15" customHeight="1">
      <c r="A35" s="37">
        <v>20503</v>
      </c>
      <c r="B35" s="57">
        <v>39630</v>
      </c>
      <c r="C35" s="40">
        <v>3650</v>
      </c>
      <c r="D35" s="95">
        <v>15.87</v>
      </c>
      <c r="E35" s="95">
        <v>256.210526315789</v>
      </c>
      <c r="F35" s="95">
        <v>414</v>
      </c>
      <c r="G35" s="95">
        <v>109.784474845543</v>
      </c>
      <c r="H35" s="95">
        <v>255</v>
      </c>
      <c r="I35" s="95">
        <v>413.9</v>
      </c>
      <c r="J35" s="95">
        <v>109.390322580645</v>
      </c>
      <c r="K35" s="95">
        <v>75</v>
      </c>
      <c r="L35" s="95">
        <v>110.2</v>
      </c>
      <c r="M35" s="95">
        <v>105.36</v>
      </c>
      <c r="N35" s="95">
        <v>55.5139037952339</v>
      </c>
      <c r="O35" s="95">
        <v>846.816142983230</v>
      </c>
      <c r="P35" s="95">
        <v>302.621076787290</v>
      </c>
      <c r="Q35" s="95">
        <v>8.34028826125328</v>
      </c>
      <c r="R35" s="95">
        <v>896.908271479788</v>
      </c>
      <c r="S35" s="40">
        <v>6943.1</v>
      </c>
      <c r="T35" s="40">
        <v>469.6</v>
      </c>
      <c r="U35" s="40">
        <v>8.1</v>
      </c>
      <c r="V35" s="95">
        <v>63.6</v>
      </c>
      <c r="W35" s="95">
        <v>47.33</v>
      </c>
      <c r="X35" s="95">
        <v>55.4</v>
      </c>
      <c r="Y35" s="95">
        <v>55.2</v>
      </c>
      <c r="Z35" s="97">
        <v>87.7</v>
      </c>
      <c r="AA35" s="97" cm="1">
        <f t="array" ref="AA35">Z35/1.01325</f>
        <v>86.5531704909943</v>
      </c>
      <c r="AB35" s="98" cm="1">
        <f t="array" ref="AB35">AE35*1.204</f>
        <v>0.821344474879227</v>
      </c>
      <c r="AC35" s="74">
        <v>795</v>
      </c>
      <c r="AD35" s="74">
        <v>1000</v>
      </c>
      <c r="AE35" s="98">
        <v>0.682179796411318</v>
      </c>
      <c r="AF35" s="102" cm="1">
        <f t="array" ref="AF35">(O35*1000*AB35+P35*AC35+Q35*AD35)/24/3600</f>
        <v>10.9311551456593</v>
      </c>
      <c r="AG35" s="97">
        <v>284.084112241135</v>
      </c>
      <c r="AH35" s="103"/>
    </row>
    <row r="36" ht="15" customHeight="1">
      <c r="A36" s="37">
        <v>20503</v>
      </c>
      <c r="B36" s="57">
        <v>39632</v>
      </c>
      <c r="C36" s="40">
        <v>3650</v>
      </c>
      <c r="D36" s="95">
        <v>14.29</v>
      </c>
      <c r="E36" s="95">
        <v>271.473684210526</v>
      </c>
      <c r="F36" s="95">
        <v>414.8</v>
      </c>
      <c r="G36" s="95">
        <v>108.633163172287</v>
      </c>
      <c r="H36" s="95">
        <v>271</v>
      </c>
      <c r="I36" s="95">
        <v>414.7</v>
      </c>
      <c r="J36" s="95">
        <v>108.64</v>
      </c>
      <c r="K36" s="95">
        <v>74</v>
      </c>
      <c r="L36" s="95"/>
      <c r="M36" s="95">
        <v>105.35</v>
      </c>
      <c r="N36" s="95">
        <v>53.1252388331815</v>
      </c>
      <c r="O36" s="95">
        <v>720.269307201458</v>
      </c>
      <c r="P36" s="95">
        <v>262.014165907019</v>
      </c>
      <c r="Q36" s="95">
        <v>6.0117515952598</v>
      </c>
      <c r="R36" s="95">
        <v>763.638663410665</v>
      </c>
      <c r="S36" s="40">
        <v>5914.3</v>
      </c>
      <c r="T36" s="40">
        <v>401.1</v>
      </c>
      <c r="U36" s="40">
        <v>6.1</v>
      </c>
      <c r="V36" s="95">
        <v>63.6</v>
      </c>
      <c r="W36" s="95">
        <v>47.33</v>
      </c>
      <c r="X36" s="95">
        <v>55.4</v>
      </c>
      <c r="Y36" s="95">
        <v>55.2</v>
      </c>
      <c r="Z36" s="97">
        <v>96.3</v>
      </c>
      <c r="AA36" s="97" cm="1">
        <f t="array" ref="AA36">Z36/1.01325</f>
        <v>95.04071058475201</v>
      </c>
      <c r="AB36" s="98" cm="1">
        <f t="array" ref="AB36">AE36*1.204</f>
        <v>0.821344474879227</v>
      </c>
      <c r="AC36" s="74">
        <v>795</v>
      </c>
      <c r="AD36" s="74">
        <v>1000</v>
      </c>
      <c r="AE36" s="98">
        <v>0.682179796411318</v>
      </c>
      <c r="AF36" s="102" cm="1">
        <f t="array" ref="AF36">(O36*1000*AB36+P36*AC36+Q36*AD36)/24/3600</f>
        <v>9.32757209937901</v>
      </c>
      <c r="AG36" s="97">
        <v>289.183504003294</v>
      </c>
      <c r="AH36" s="103"/>
    </row>
    <row r="37" ht="15" customHeight="1">
      <c r="A37" s="37">
        <v>20503</v>
      </c>
      <c r="B37" s="57">
        <v>39634</v>
      </c>
      <c r="C37" s="40">
        <v>3650</v>
      </c>
      <c r="D37" s="95">
        <v>11.11</v>
      </c>
      <c r="E37" s="95">
        <v>297.677419354839</v>
      </c>
      <c r="F37" s="95">
        <v>424.5</v>
      </c>
      <c r="G37" s="95">
        <v>100.126341437062</v>
      </c>
      <c r="H37" s="95">
        <v>298</v>
      </c>
      <c r="I37" s="95">
        <v>424.5</v>
      </c>
      <c r="J37" s="95">
        <v>102.254285714286</v>
      </c>
      <c r="K37" s="95">
        <v>70</v>
      </c>
      <c r="L37" s="95"/>
      <c r="M37" s="95">
        <v>105.37</v>
      </c>
      <c r="N37" s="95">
        <v>44.8840502431118</v>
      </c>
      <c r="O37" s="95">
        <v>497.155780659103</v>
      </c>
      <c r="P37" s="95">
        <v>179.763851971907</v>
      </c>
      <c r="Q37" s="95">
        <v>3.28954300378173</v>
      </c>
      <c r="R37" s="95">
        <v>526.909987703458</v>
      </c>
      <c r="S37" s="40">
        <v>4204.5</v>
      </c>
      <c r="T37" s="40">
        <v>274</v>
      </c>
      <c r="U37" s="40">
        <v>3.3</v>
      </c>
      <c r="V37" s="95">
        <v>63.6</v>
      </c>
      <c r="W37" s="95">
        <v>47.33</v>
      </c>
      <c r="X37" s="95">
        <v>55.4</v>
      </c>
      <c r="Y37" s="95">
        <v>55.2</v>
      </c>
      <c r="Z37" s="97">
        <v>88.2</v>
      </c>
      <c r="AA37" s="97" cm="1">
        <f t="array" ref="AA37">Z37/1.01325</f>
        <v>87.0466321243523</v>
      </c>
      <c r="AB37" s="98" cm="1">
        <f t="array" ref="AB37">AE37*1.204</f>
        <v>0.821344474879227</v>
      </c>
      <c r="AC37" s="74">
        <v>795</v>
      </c>
      <c r="AD37" s="74">
        <v>1000</v>
      </c>
      <c r="AE37" s="98">
        <v>0.682179796411318</v>
      </c>
      <c r="AF37" s="102" cm="1">
        <f t="array" ref="AF37">(O37*1000*AB37+P37*AC37+Q37*AD37)/24/3600</f>
        <v>6.41826341342675</v>
      </c>
      <c r="AG37" s="97">
        <v>287.517514630223</v>
      </c>
      <c r="AH37" s="103"/>
    </row>
    <row r="38" ht="15" customHeight="1">
      <c r="A38" s="37">
        <v>20503</v>
      </c>
      <c r="B38" s="57">
        <v>40456</v>
      </c>
      <c r="C38" s="40">
        <v>3653</v>
      </c>
      <c r="D38" s="95">
        <v>9.529999999999999</v>
      </c>
      <c r="E38" s="95">
        <v>298.571428571429</v>
      </c>
      <c r="F38" s="95">
        <v>403.4</v>
      </c>
      <c r="G38" s="95">
        <v>111.381880064830</v>
      </c>
      <c r="H38" s="95">
        <v>298</v>
      </c>
      <c r="I38" s="95">
        <v>402.9</v>
      </c>
      <c r="J38" s="95">
        <v>111.612903225806</v>
      </c>
      <c r="K38" s="95">
        <v>64</v>
      </c>
      <c r="L38" s="95">
        <v>32</v>
      </c>
      <c r="M38" s="95">
        <v>104.42</v>
      </c>
      <c r="N38" s="95">
        <v>42.4403395461912</v>
      </c>
      <c r="O38" s="95">
        <v>366.218938411669</v>
      </c>
      <c r="P38" s="95">
        <v>118.276961102107</v>
      </c>
      <c r="Q38" s="95">
        <v>1.46933330632091</v>
      </c>
      <c r="R38" s="95">
        <v>388.184439421637</v>
      </c>
      <c r="S38" s="40">
        <v>2724.6</v>
      </c>
      <c r="T38" s="40">
        <v>184.3</v>
      </c>
      <c r="U38" s="40">
        <v>1.5</v>
      </c>
      <c r="V38" s="95">
        <v>63.6</v>
      </c>
      <c r="W38" s="95">
        <v>43.4</v>
      </c>
      <c r="X38" s="95">
        <v>54.9</v>
      </c>
      <c r="Y38" s="95">
        <v>52.7</v>
      </c>
      <c r="Z38" s="97">
        <v>88.8</v>
      </c>
      <c r="AA38" s="97" cm="1">
        <f t="array" ref="AA38">Z38/1.01325</f>
        <v>87.63878608438191</v>
      </c>
      <c r="AB38" s="98" cm="1">
        <f t="array" ref="AB38">AE38*1.204</f>
        <v>0.823536</v>
      </c>
      <c r="AC38" s="74">
        <v>788.9</v>
      </c>
      <c r="AD38" s="74">
        <v>1000</v>
      </c>
      <c r="AE38" s="98">
        <v>0.6840000000000001</v>
      </c>
      <c r="AF38" s="102" cm="1">
        <f t="array" ref="AF38">(O38*1000*AB38+P38*AC38+Q38*AD38)/24/3600</f>
        <v>4.58764476369867</v>
      </c>
      <c r="AG38" s="97" cm="1">
        <f t="array" ref="AG38">0.254839032065248*1000</f>
        <v>254.839032065248</v>
      </c>
      <c r="AH38" s="103"/>
    </row>
    <row r="39" ht="15" customHeight="1">
      <c r="A39" s="37">
        <v>20503</v>
      </c>
      <c r="B39" s="57">
        <v>40459</v>
      </c>
      <c r="C39" s="40">
        <v>3653</v>
      </c>
      <c r="D39" s="95">
        <v>11.11</v>
      </c>
      <c r="E39" s="95">
        <v>285.65</v>
      </c>
      <c r="F39" s="95">
        <v>399.2</v>
      </c>
      <c r="G39" s="95">
        <v>121.682929720576</v>
      </c>
      <c r="H39" s="95">
        <v>288</v>
      </c>
      <c r="I39" s="95">
        <v>396.6</v>
      </c>
      <c r="J39" s="95">
        <v>123.6168</v>
      </c>
      <c r="K39" s="95">
        <v>68</v>
      </c>
      <c r="L39" s="95">
        <v>36</v>
      </c>
      <c r="M39" s="95">
        <v>104.42</v>
      </c>
      <c r="N39" s="95">
        <v>49.1787358171041</v>
      </c>
      <c r="O39" s="95">
        <v>470.288001693480</v>
      </c>
      <c r="P39" s="95">
        <v>145.034546994073</v>
      </c>
      <c r="Q39" s="95">
        <v>2.27006706181203</v>
      </c>
      <c r="R39" s="95">
        <v>495.845358940898</v>
      </c>
      <c r="S39" s="40">
        <v>3324.9</v>
      </c>
      <c r="T39" s="40">
        <v>229.5</v>
      </c>
      <c r="U39" s="40">
        <v>2.3</v>
      </c>
      <c r="V39" s="95">
        <v>63.6</v>
      </c>
      <c r="W39" s="95">
        <v>43.4</v>
      </c>
      <c r="X39" s="95">
        <v>54.9</v>
      </c>
      <c r="Y39" s="95">
        <v>52.7</v>
      </c>
      <c r="Z39" s="97">
        <v>87.40000000000001</v>
      </c>
      <c r="AA39" s="97" cm="1">
        <f t="array" ref="AA39">Z39/1.01325</f>
        <v>86.2570935109795</v>
      </c>
      <c r="AB39" s="98" cm="1">
        <f t="array" ref="AB39">AE39*1.204</f>
        <v>0.823536</v>
      </c>
      <c r="AC39" s="74">
        <v>788.9</v>
      </c>
      <c r="AD39" s="74">
        <v>1000</v>
      </c>
      <c r="AE39" s="98">
        <v>0.6840000000000001</v>
      </c>
      <c r="AF39" s="102" cm="1">
        <f t="array" ref="AF39">(O39*1000*AB39+P39*AC39+Q39*AD39)/24/3600</f>
        <v>5.83318195541757</v>
      </c>
      <c r="AG39" s="97" cm="1">
        <f t="array" ref="AG39">0.243234996427721*1000</f>
        <v>243.234996427721</v>
      </c>
      <c r="AH39" s="103"/>
    </row>
    <row r="40" ht="15" customHeight="1">
      <c r="A40" s="37">
        <v>20503</v>
      </c>
      <c r="B40" s="57">
        <v>40736</v>
      </c>
      <c r="C40" t="s" s="47">
        <v>54</v>
      </c>
      <c r="D40" s="95">
        <v>14.29</v>
      </c>
      <c r="E40" s="95">
        <v>221.8</v>
      </c>
      <c r="F40" t="s" s="87">
        <v>44</v>
      </c>
      <c r="G40" s="95">
        <v>107.555530881333</v>
      </c>
      <c r="H40" s="95">
        <v>222</v>
      </c>
      <c r="I40" t="s" s="87">
        <v>44</v>
      </c>
      <c r="J40" s="96">
        <v>106.77</v>
      </c>
      <c r="K40" s="95">
        <v>69</v>
      </c>
      <c r="L40" t="s" s="87">
        <v>44</v>
      </c>
      <c r="M40" t="s" s="87">
        <v>44</v>
      </c>
      <c r="N40" s="95">
        <v>52.2217897293547</v>
      </c>
      <c r="O40" s="95">
        <v>601.5</v>
      </c>
      <c r="P40" s="95">
        <v>167.1</v>
      </c>
      <c r="Q40" s="95">
        <v>1</v>
      </c>
      <c r="R40" s="95">
        <v>629.44012</v>
      </c>
      <c r="S40" s="40">
        <v>5020</v>
      </c>
      <c r="T40" s="40">
        <v>254</v>
      </c>
      <c r="U40" s="40">
        <v>1</v>
      </c>
      <c r="V40" s="95">
        <v>63.6</v>
      </c>
      <c r="W40" t="s" s="87">
        <v>44</v>
      </c>
      <c r="X40" t="s" s="87">
        <v>44</v>
      </c>
      <c r="Y40" t="s" s="87">
        <v>44</v>
      </c>
      <c r="Z40" s="97">
        <v>90.8</v>
      </c>
      <c r="AA40" s="97" cm="1">
        <f t="array" ref="AA40">Z40/1.01325</f>
        <v>89.612632617814</v>
      </c>
      <c r="AB40" s="98" cm="1">
        <f t="array" ref="AB40">AE40*1.204</f>
        <v>0.824330333252798</v>
      </c>
      <c r="AC40" s="74">
        <v>788.4</v>
      </c>
      <c r="AD40" s="74">
        <v>1000</v>
      </c>
      <c r="AE40" s="98">
        <v>0.684659745226576</v>
      </c>
      <c r="AF40" s="102" cm="1">
        <f t="array" ref="AF40">(O40*1000*AB40+P40*AC40+Q40*AD40)/24/3600</f>
        <v>7.27518906772637</v>
      </c>
      <c r="AG40" s="97" cm="1">
        <f t="array" ref="AG40">0.219042278656448*1000</f>
        <v>219.042278656448</v>
      </c>
      <c r="AH40" s="103"/>
    </row>
    <row r="41" ht="15" customHeight="1">
      <c r="A41" s="37">
        <v>21002</v>
      </c>
      <c r="B41" s="57">
        <v>39220</v>
      </c>
      <c r="C41" s="40">
        <v>3572</v>
      </c>
      <c r="D41" s="95">
        <v>6.35</v>
      </c>
      <c r="E41" s="95">
        <v>251.286</v>
      </c>
      <c r="F41" s="95">
        <v>341.5</v>
      </c>
      <c r="G41" s="95">
        <v>106</v>
      </c>
      <c r="H41" s="95">
        <v>251.286</v>
      </c>
      <c r="I41" s="95">
        <v>345</v>
      </c>
      <c r="J41" s="95">
        <v>114.7</v>
      </c>
      <c r="K41" s="95">
        <v>25</v>
      </c>
      <c r="L41" t="s" s="87">
        <v>44</v>
      </c>
      <c r="M41" s="95">
        <v>104.9</v>
      </c>
      <c r="N41" s="95">
        <v>26.5</v>
      </c>
      <c r="O41" s="95">
        <v>148.196</v>
      </c>
      <c r="P41" s="95">
        <v>40</v>
      </c>
      <c r="Q41" s="95">
        <v>0</v>
      </c>
      <c r="R41" t="s" s="87">
        <v>44</v>
      </c>
      <c r="S41" s="40">
        <v>1768.6</v>
      </c>
      <c r="T41" s="40">
        <v>98.2</v>
      </c>
      <c r="U41" s="40">
        <v>0</v>
      </c>
      <c r="V41" s="95">
        <v>30</v>
      </c>
      <c r="W41" s="95">
        <v>38.59</v>
      </c>
      <c r="X41" s="95">
        <v>51.3</v>
      </c>
      <c r="Y41" s="95">
        <v>51.7</v>
      </c>
      <c r="Z41" s="97">
        <v>94.8</v>
      </c>
      <c r="AA41" s="106" cm="1">
        <f t="array" ref="AA41">Z41/1.01325</f>
        <v>93.56032568467801</v>
      </c>
      <c r="AB41" s="114"/>
      <c r="AC41" s="98">
        <v>780</v>
      </c>
      <c r="AD41" s="98"/>
      <c r="AE41" s="98">
        <v>0.662</v>
      </c>
      <c r="AF41" s="98"/>
      <c r="AG41" s="98"/>
      <c r="AH41" s="115">
        <v>0.27</v>
      </c>
    </row>
    <row r="42" ht="15" customHeight="1">
      <c r="A42" s="37">
        <v>21002</v>
      </c>
      <c r="B42" s="57">
        <v>39220</v>
      </c>
      <c r="C42" s="40">
        <v>3572</v>
      </c>
      <c r="D42" s="95">
        <v>9.529999999999999</v>
      </c>
      <c r="E42" s="95">
        <v>237.1005</v>
      </c>
      <c r="F42" s="95">
        <v>330</v>
      </c>
      <c r="G42" s="95">
        <v>105.9</v>
      </c>
      <c r="H42" s="95">
        <v>237.1005</v>
      </c>
      <c r="I42" s="95">
        <v>328.7</v>
      </c>
      <c r="J42" s="95">
        <v>103.8</v>
      </c>
      <c r="K42" s="95">
        <v>31</v>
      </c>
      <c r="L42" t="s" s="87">
        <v>44</v>
      </c>
      <c r="M42" s="95">
        <v>104.7</v>
      </c>
      <c r="N42" s="95">
        <v>38.5</v>
      </c>
      <c r="O42" s="95">
        <v>304.633</v>
      </c>
      <c r="P42" s="95">
        <v>76.59999999999999</v>
      </c>
      <c r="Q42" s="95">
        <v>0</v>
      </c>
      <c r="R42" t="s" s="87">
        <v>44</v>
      </c>
      <c r="S42" s="40">
        <v>2315.9</v>
      </c>
      <c r="T42" s="40">
        <v>122.1</v>
      </c>
      <c r="U42" s="40">
        <v>0</v>
      </c>
      <c r="V42" s="95">
        <v>30</v>
      </c>
      <c r="W42" s="95">
        <v>38.59</v>
      </c>
      <c r="X42" s="95">
        <v>51.3</v>
      </c>
      <c r="Y42" s="95">
        <v>51.7</v>
      </c>
      <c r="Z42" s="97">
        <v>94.8</v>
      </c>
      <c r="AA42" s="109" cm="1">
        <f t="array" ref="AA42">Z42/1.01325</f>
        <v>93.56032568467801</v>
      </c>
      <c r="AB42" s="116"/>
      <c r="AC42" s="98">
        <v>780</v>
      </c>
      <c r="AD42" s="117"/>
      <c r="AE42" s="98">
        <v>0.662</v>
      </c>
      <c r="AF42" s="106"/>
      <c r="AG42" s="107"/>
      <c r="AH42" s="111">
        <v>0.251</v>
      </c>
    </row>
    <row r="43" ht="15" customHeight="1">
      <c r="A43" s="37">
        <v>21002</v>
      </c>
      <c r="B43" s="57">
        <v>39221</v>
      </c>
      <c r="C43" s="40">
        <v>3572</v>
      </c>
      <c r="D43" s="95">
        <v>11.11</v>
      </c>
      <c r="E43" s="95">
        <v>222.915</v>
      </c>
      <c r="F43" s="95">
        <v>316</v>
      </c>
      <c r="G43" s="95">
        <v>108.9</v>
      </c>
      <c r="H43" s="95">
        <v>222.915</v>
      </c>
      <c r="I43" s="95">
        <v>316.1</v>
      </c>
      <c r="J43" s="95">
        <v>108.7</v>
      </c>
      <c r="K43" s="95">
        <v>37</v>
      </c>
      <c r="L43" t="s" s="87">
        <v>44</v>
      </c>
      <c r="M43" s="95">
        <v>104.6</v>
      </c>
      <c r="N43" s="95">
        <v>45</v>
      </c>
      <c r="O43" s="95">
        <v>389.857</v>
      </c>
      <c r="P43" s="95">
        <v>91.8</v>
      </c>
      <c r="Q43" s="95">
        <v>1.1</v>
      </c>
      <c r="R43" t="s" s="87">
        <v>44</v>
      </c>
      <c r="S43" s="40">
        <v>2998.1</v>
      </c>
      <c r="T43" s="40">
        <v>143.5</v>
      </c>
      <c r="U43" s="40">
        <v>1.2</v>
      </c>
      <c r="V43" s="95">
        <v>30</v>
      </c>
      <c r="W43" s="95">
        <v>38.59</v>
      </c>
      <c r="X43" s="95">
        <v>51.3</v>
      </c>
      <c r="Y43" s="95">
        <v>51.7</v>
      </c>
      <c r="Z43" s="97">
        <v>103.6</v>
      </c>
      <c r="AA43" s="109" cm="1">
        <f t="array" ref="AA43">Z43/1.01325</f>
        <v>102.245250431779</v>
      </c>
      <c r="AB43" s="116"/>
      <c r="AC43" s="98">
        <v>780</v>
      </c>
      <c r="AD43" s="118"/>
      <c r="AE43" s="98">
        <v>0.662</v>
      </c>
      <c r="AF43" s="109"/>
      <c r="AG43" s="110"/>
      <c r="AH43" s="111">
        <v>0.236</v>
      </c>
    </row>
    <row r="44" ht="15" customHeight="1">
      <c r="A44" s="37">
        <v>21002</v>
      </c>
      <c r="B44" s="57">
        <v>39222</v>
      </c>
      <c r="C44" s="40">
        <v>3572</v>
      </c>
      <c r="D44" s="95">
        <v>12.7</v>
      </c>
      <c r="E44" s="95">
        <v>222.915</v>
      </c>
      <c r="F44" s="95">
        <v>301.6</v>
      </c>
      <c r="G44" s="95">
        <v>101.7</v>
      </c>
      <c r="H44" s="95">
        <v>222.915</v>
      </c>
      <c r="I44" s="95">
        <v>329.7</v>
      </c>
      <c r="J44" s="95">
        <v>108.4</v>
      </c>
      <c r="K44" s="95">
        <v>37</v>
      </c>
      <c r="L44" t="s" s="87">
        <v>44</v>
      </c>
      <c r="M44" s="95">
        <v>104.5</v>
      </c>
      <c r="N44" s="95">
        <v>48.2</v>
      </c>
      <c r="O44" s="95">
        <v>472.62</v>
      </c>
      <c r="P44" s="95">
        <v>102.3</v>
      </c>
      <c r="Q44" s="95">
        <v>2.4</v>
      </c>
      <c r="R44" t="s" s="87">
        <v>44</v>
      </c>
      <c r="S44" s="40">
        <v>4013.4</v>
      </c>
      <c r="T44" s="40">
        <v>158.9</v>
      </c>
      <c r="U44" s="40">
        <v>2.4</v>
      </c>
      <c r="V44" s="95">
        <v>30</v>
      </c>
      <c r="W44" s="95">
        <v>38.59</v>
      </c>
      <c r="X44" s="95">
        <v>51.3</v>
      </c>
      <c r="Y44" s="95">
        <v>51.7</v>
      </c>
      <c r="Z44" s="97">
        <v>98</v>
      </c>
      <c r="AA44" s="109" cm="1">
        <f t="array" ref="AA44">Z44/1.01325</f>
        <v>96.7184801381693</v>
      </c>
      <c r="AB44" s="116"/>
      <c r="AC44" s="98">
        <v>780</v>
      </c>
      <c r="AD44" s="118"/>
      <c r="AE44" s="98">
        <v>0.662</v>
      </c>
      <c r="AF44" s="109"/>
      <c r="AG44" s="110"/>
      <c r="AH44" s="111">
        <v>0.217</v>
      </c>
    </row>
    <row r="45" ht="15" customHeight="1">
      <c r="A45" s="37">
        <v>21002</v>
      </c>
      <c r="B45" s="57">
        <v>39640</v>
      </c>
      <c r="C45" s="40">
        <v>3588.5</v>
      </c>
      <c r="D45" s="95">
        <v>7.94</v>
      </c>
      <c r="E45" s="95">
        <v>258</v>
      </c>
      <c r="F45" s="95">
        <v>359.9</v>
      </c>
      <c r="G45" s="95">
        <v>100.2</v>
      </c>
      <c r="H45" s="96">
        <v>258</v>
      </c>
      <c r="I45" s="95">
        <v>359.9</v>
      </c>
      <c r="J45" s="95">
        <v>100.2</v>
      </c>
      <c r="K45" s="95">
        <v>57</v>
      </c>
      <c r="L45" s="95">
        <v>33</v>
      </c>
      <c r="M45" s="95">
        <v>105.1</v>
      </c>
      <c r="N45" s="95">
        <v>33.2</v>
      </c>
      <c r="O45" s="95">
        <v>235.784</v>
      </c>
      <c r="P45" s="95">
        <v>59.6</v>
      </c>
      <c r="Q45" s="95">
        <v>1.3</v>
      </c>
      <c r="R45" s="95">
        <v>247.2285</v>
      </c>
      <c r="S45" s="40">
        <v>1839.2</v>
      </c>
      <c r="T45" s="40">
        <v>94.7</v>
      </c>
      <c r="U45" s="40">
        <v>1.2</v>
      </c>
      <c r="V45" s="95">
        <v>30</v>
      </c>
      <c r="W45" s="95">
        <v>40.39</v>
      </c>
      <c r="X45" s="95">
        <v>49.4</v>
      </c>
      <c r="Y45" t="s" s="87">
        <v>44</v>
      </c>
      <c r="Z45" s="97">
        <v>97.59999999999999</v>
      </c>
      <c r="AA45" s="109" cm="1">
        <f t="array" ref="AA45">Z45/1.01325</f>
        <v>96.3237108314829</v>
      </c>
      <c r="AB45" s="110"/>
      <c r="AC45" s="107">
        <v>792</v>
      </c>
      <c r="AD45" s="110"/>
      <c r="AE45" s="107">
        <v>0.6830000000000001</v>
      </c>
      <c r="AF45" s="110"/>
      <c r="AG45" s="110"/>
      <c r="AH45" s="111">
        <v>0.2</v>
      </c>
    </row>
    <row r="46" ht="15" customHeight="1">
      <c r="A46" s="37">
        <v>21002</v>
      </c>
      <c r="B46" s="57">
        <v>39641</v>
      </c>
      <c r="C46" s="40">
        <v>3588.5</v>
      </c>
      <c r="D46" s="95">
        <v>9.529999999999999</v>
      </c>
      <c r="E46" s="95">
        <v>250.3</v>
      </c>
      <c r="F46" s="95">
        <v>346.9</v>
      </c>
      <c r="G46" s="95">
        <v>98.90000000000001</v>
      </c>
      <c r="H46" s="96">
        <v>248</v>
      </c>
      <c r="I46" s="95">
        <v>346.9</v>
      </c>
      <c r="J46" s="95">
        <v>98.8</v>
      </c>
      <c r="K46" s="95">
        <v>62</v>
      </c>
      <c r="L46" s="95">
        <v>38.5</v>
      </c>
      <c r="M46" s="95">
        <v>104.88</v>
      </c>
      <c r="N46" s="95">
        <v>39</v>
      </c>
      <c r="O46" s="95">
        <v>326.312</v>
      </c>
      <c r="P46" s="95">
        <v>74</v>
      </c>
      <c r="Q46" s="95">
        <v>2.6</v>
      </c>
      <c r="R46" s="95">
        <v>340.1304</v>
      </c>
      <c r="S46" s="40">
        <v>2690.920702</v>
      </c>
      <c r="T46" s="40">
        <v>119.1</v>
      </c>
      <c r="U46" s="40">
        <v>2.7</v>
      </c>
      <c r="V46" s="95">
        <v>30</v>
      </c>
      <c r="W46" s="95">
        <v>40.39</v>
      </c>
      <c r="X46" s="95">
        <v>49.4</v>
      </c>
      <c r="Y46" t="s" s="87">
        <v>44</v>
      </c>
      <c r="Z46" s="97">
        <v>95.5</v>
      </c>
      <c r="AA46" s="109" cm="1">
        <f t="array" ref="AA46">Z46/1.01325</f>
        <v>94.25117197137919</v>
      </c>
      <c r="AB46" s="110"/>
      <c r="AC46" s="110">
        <v>792</v>
      </c>
      <c r="AD46" s="110"/>
      <c r="AE46" s="110">
        <v>0.6830000000000001</v>
      </c>
      <c r="AF46" s="110"/>
      <c r="AG46" s="110"/>
      <c r="AH46" s="111">
        <v>0.18</v>
      </c>
    </row>
    <row r="47" ht="15" customHeight="1">
      <c r="A47" s="37">
        <v>21002</v>
      </c>
      <c r="B47" s="57">
        <v>39642</v>
      </c>
      <c r="C47" s="40">
        <v>3588.5</v>
      </c>
      <c r="D47" s="95">
        <v>11.11</v>
      </c>
      <c r="E47" s="95">
        <v>232</v>
      </c>
      <c r="F47" s="95">
        <v>330.5</v>
      </c>
      <c r="G47" s="95">
        <v>94.5</v>
      </c>
      <c r="H47" s="96">
        <v>232</v>
      </c>
      <c r="I47" s="95">
        <v>330.5</v>
      </c>
      <c r="J47" s="95">
        <v>93.09999999999999</v>
      </c>
      <c r="K47" s="95">
        <v>66</v>
      </c>
      <c r="L47" s="95">
        <v>42.9</v>
      </c>
      <c r="M47" s="95">
        <v>104.5</v>
      </c>
      <c r="N47" s="95">
        <v>43.3</v>
      </c>
      <c r="O47" s="95">
        <v>415.321</v>
      </c>
      <c r="P47" s="95">
        <v>88.7</v>
      </c>
      <c r="Q47" s="95">
        <v>3.8</v>
      </c>
      <c r="R47" s="95">
        <v>429.84499</v>
      </c>
      <c r="S47" s="40">
        <v>3706.486907</v>
      </c>
      <c r="T47" s="40">
        <v>138.7</v>
      </c>
      <c r="U47" s="40">
        <v>3.9</v>
      </c>
      <c r="V47" s="95">
        <v>30</v>
      </c>
      <c r="W47" s="95">
        <v>40.39</v>
      </c>
      <c r="X47" s="95">
        <v>49.4</v>
      </c>
      <c r="Y47" t="s" s="87">
        <v>44</v>
      </c>
      <c r="Z47" s="97">
        <v>90.3</v>
      </c>
      <c r="AA47" s="109" cm="1">
        <f t="array" ref="AA47">Z47/1.01325</f>
        <v>89.11917098445601</v>
      </c>
      <c r="AB47" s="110"/>
      <c r="AC47" s="110">
        <v>792</v>
      </c>
      <c r="AD47" s="110"/>
      <c r="AE47" s="110">
        <v>0.6830000000000001</v>
      </c>
      <c r="AF47" s="110"/>
      <c r="AG47" s="110"/>
      <c r="AH47" s="111">
        <v>0.169</v>
      </c>
    </row>
    <row r="48" ht="15" customHeight="1">
      <c r="A48" s="37">
        <v>21002</v>
      </c>
      <c r="B48" s="57">
        <v>39643</v>
      </c>
      <c r="C48" s="40">
        <v>3588.5</v>
      </c>
      <c r="D48" s="95">
        <v>12.7</v>
      </c>
      <c r="E48" s="95">
        <v>214.2</v>
      </c>
      <c r="F48" s="95">
        <v>314.2</v>
      </c>
      <c r="G48" s="95">
        <v>96.90000000000001</v>
      </c>
      <c r="H48" s="96">
        <v>215</v>
      </c>
      <c r="I48" s="95">
        <v>314.2</v>
      </c>
      <c r="J48" s="95">
        <v>97</v>
      </c>
      <c r="K48" s="95">
        <v>68</v>
      </c>
      <c r="L48" s="95">
        <v>47.9</v>
      </c>
      <c r="M48" s="95">
        <v>104</v>
      </c>
      <c r="N48" s="95">
        <v>47.8</v>
      </c>
      <c r="O48" s="95">
        <v>489.673</v>
      </c>
      <c r="P48" s="95">
        <v>98.59999999999999</v>
      </c>
      <c r="Q48" s="95">
        <v>4.7</v>
      </c>
      <c r="R48" s="95">
        <v>506.45942</v>
      </c>
      <c r="S48" s="40">
        <v>4437.442082</v>
      </c>
      <c r="T48" s="40">
        <v>159.2</v>
      </c>
      <c r="U48" s="40">
        <v>4.9</v>
      </c>
      <c r="V48" s="95">
        <v>30</v>
      </c>
      <c r="W48" s="95">
        <v>40.39</v>
      </c>
      <c r="X48" s="95">
        <v>49.4</v>
      </c>
      <c r="Y48" t="s" s="87">
        <v>44</v>
      </c>
      <c r="Z48" s="97">
        <v>92</v>
      </c>
      <c r="AA48" s="109" cm="1">
        <f t="array" ref="AA48">Z48/1.01325</f>
        <v>90.7969405378732</v>
      </c>
      <c r="AB48" s="110"/>
      <c r="AC48" s="110">
        <v>792</v>
      </c>
      <c r="AD48" s="110"/>
      <c r="AE48" s="110">
        <v>0.6830000000000001</v>
      </c>
      <c r="AF48" s="110"/>
      <c r="AG48" s="110"/>
      <c r="AH48" s="111">
        <v>0.16</v>
      </c>
    </row>
    <row r="49" ht="15" customHeight="1">
      <c r="A49" s="37">
        <v>21002</v>
      </c>
      <c r="B49" s="57">
        <v>39644</v>
      </c>
      <c r="C49" s="40">
        <v>3588.5</v>
      </c>
      <c r="D49" s="95">
        <v>14.29</v>
      </c>
      <c r="E49" s="95">
        <v>193</v>
      </c>
      <c r="F49" s="95">
        <v>297.5</v>
      </c>
      <c r="G49" s="95">
        <v>98.2</v>
      </c>
      <c r="H49" s="96">
        <v>193</v>
      </c>
      <c r="I49" s="95">
        <v>297.5</v>
      </c>
      <c r="J49" s="95">
        <v>98.3</v>
      </c>
      <c r="K49" s="95">
        <v>68</v>
      </c>
      <c r="L49" s="95">
        <v>51</v>
      </c>
      <c r="M49" s="95">
        <v>103.4</v>
      </c>
      <c r="N49" s="95">
        <v>51.2</v>
      </c>
      <c r="O49" s="95">
        <v>554.811</v>
      </c>
      <c r="P49" s="95">
        <v>109.1</v>
      </c>
      <c r="Q49" s="95">
        <v>5.7</v>
      </c>
      <c r="R49" s="95">
        <v>571.8363000000001</v>
      </c>
      <c r="S49" s="40">
        <v>5035.740014</v>
      </c>
      <c r="T49" s="40">
        <v>170.4</v>
      </c>
      <c r="U49" s="40">
        <v>5.8</v>
      </c>
      <c r="V49" s="95">
        <v>30</v>
      </c>
      <c r="W49" s="95">
        <v>40.39</v>
      </c>
      <c r="X49" s="95">
        <v>49.4</v>
      </c>
      <c r="Y49" t="s" s="87">
        <v>44</v>
      </c>
      <c r="Z49" s="97">
        <v>93.2</v>
      </c>
      <c r="AA49" s="109" cm="1">
        <f t="array" ref="AA49">Z49/1.01325</f>
        <v>91.9812484579324</v>
      </c>
      <c r="AB49" s="110"/>
      <c r="AC49" s="110">
        <v>792</v>
      </c>
      <c r="AD49" s="110"/>
      <c r="AE49" s="110">
        <v>0.6830000000000001</v>
      </c>
      <c r="AF49" s="110"/>
      <c r="AG49" s="110"/>
      <c r="AH49" s="111">
        <v>0.156</v>
      </c>
    </row>
    <row r="50" ht="15" customHeight="1">
      <c r="A50" s="37">
        <v>21002</v>
      </c>
      <c r="B50" s="57">
        <v>39645</v>
      </c>
      <c r="C50" s="40">
        <v>3588.5</v>
      </c>
      <c r="D50" s="95">
        <v>12.7</v>
      </c>
      <c r="E50" s="95">
        <v>206</v>
      </c>
      <c r="F50" s="95">
        <v>306.9</v>
      </c>
      <c r="G50" s="95">
        <v>97.2</v>
      </c>
      <c r="H50" s="96">
        <v>206</v>
      </c>
      <c r="I50" s="95">
        <v>306.8</v>
      </c>
      <c r="J50" s="95">
        <v>97.59999999999999</v>
      </c>
      <c r="K50" s="95">
        <v>67</v>
      </c>
      <c r="L50" s="95"/>
      <c r="M50" s="95">
        <v>103.76</v>
      </c>
      <c r="N50" s="95">
        <v>48.2</v>
      </c>
      <c r="O50" s="95">
        <v>490.355</v>
      </c>
      <c r="P50" s="95">
        <v>94.7</v>
      </c>
      <c r="Q50" s="95">
        <v>4.5</v>
      </c>
      <c r="R50" s="95">
        <v>505.1327</v>
      </c>
      <c r="S50" s="40">
        <v>4386.745588</v>
      </c>
      <c r="T50" s="40">
        <v>149.6</v>
      </c>
      <c r="U50" s="40">
        <v>4.6</v>
      </c>
      <c r="V50" s="95">
        <v>30</v>
      </c>
      <c r="W50" s="95">
        <v>40.39</v>
      </c>
      <c r="X50" s="95">
        <v>49.4</v>
      </c>
      <c r="Y50" t="s" s="87">
        <v>44</v>
      </c>
      <c r="Z50" s="97">
        <v>92.5</v>
      </c>
      <c r="AA50" s="109" cm="1">
        <f t="array" ref="AA50">Z50/1.01325</f>
        <v>91.29040217123119</v>
      </c>
      <c r="AB50" s="110"/>
      <c r="AC50" s="110">
        <v>792</v>
      </c>
      <c r="AD50" s="110"/>
      <c r="AE50" s="110">
        <v>0.6830000000000001</v>
      </c>
      <c r="AF50" s="110"/>
      <c r="AG50" s="110"/>
      <c r="AH50" s="111">
        <v>0.153</v>
      </c>
    </row>
    <row r="51" ht="15" customHeight="1">
      <c r="A51" s="37">
        <v>21002</v>
      </c>
      <c r="B51" s="57">
        <v>40802</v>
      </c>
      <c r="C51" t="s" s="47">
        <v>54</v>
      </c>
      <c r="D51" s="95">
        <v>9.529999999999999</v>
      </c>
      <c r="E51" s="95">
        <v>215</v>
      </c>
      <c r="F51" t="s" s="87">
        <v>44</v>
      </c>
      <c r="G51" s="95">
        <v>100.369641887062</v>
      </c>
      <c r="H51" s="104">
        <v>215</v>
      </c>
      <c r="I51" t="s" s="87">
        <v>44</v>
      </c>
      <c r="J51" s="96">
        <v>100.26</v>
      </c>
      <c r="K51" s="95">
        <v>58</v>
      </c>
      <c r="L51" t="s" s="87">
        <v>44</v>
      </c>
      <c r="M51" t="s" s="87">
        <v>44</v>
      </c>
      <c r="N51" s="95">
        <v>37.5354152966404</v>
      </c>
      <c r="O51" s="95">
        <v>285</v>
      </c>
      <c r="P51" s="95">
        <v>55.4</v>
      </c>
      <c r="Q51" s="95">
        <v>0.5</v>
      </c>
      <c r="R51" s="95">
        <v>296.3298</v>
      </c>
      <c r="S51" s="40">
        <v>2291</v>
      </c>
      <c r="T51" s="40">
        <v>91</v>
      </c>
      <c r="U51" s="40">
        <v>0.5</v>
      </c>
      <c r="V51" s="95">
        <v>30</v>
      </c>
      <c r="W51" s="95"/>
      <c r="X51" s="95"/>
      <c r="Y51" s="95"/>
      <c r="Z51" s="97">
        <v>92.90000000000001</v>
      </c>
      <c r="AA51" s="109" cm="1">
        <f t="array" ref="AA51">Z51/1.01325</f>
        <v>91.68517147791761</v>
      </c>
      <c r="AB51" s="110"/>
      <c r="AC51" s="110">
        <v>781</v>
      </c>
      <c r="AD51" s="110"/>
      <c r="AE51" s="110">
        <v>0.665</v>
      </c>
      <c r="AF51" s="110"/>
      <c r="AG51" s="110"/>
      <c r="AH51" s="111">
        <v>0.152</v>
      </c>
    </row>
    <row r="52" ht="15" customHeight="1">
      <c r="A52" s="37">
        <v>21202</v>
      </c>
      <c r="B52" s="57">
        <v>39284</v>
      </c>
      <c r="C52" s="40">
        <v>3559.5</v>
      </c>
      <c r="D52" s="95">
        <v>6.35</v>
      </c>
      <c r="E52" s="95">
        <v>307.01475</v>
      </c>
      <c r="F52" s="95">
        <v>399.42315</v>
      </c>
      <c r="G52" s="95">
        <v>99.22807278805161</v>
      </c>
      <c r="H52" s="96">
        <v>297</v>
      </c>
      <c r="I52" s="95">
        <v>396.7</v>
      </c>
      <c r="J52" s="96">
        <v>99.03075</v>
      </c>
      <c r="K52" s="95">
        <v>49.6</v>
      </c>
      <c r="L52" s="95">
        <v>26</v>
      </c>
      <c r="M52" s="95">
        <v>107.62</v>
      </c>
      <c r="N52" s="95">
        <v>26.2704474751067</v>
      </c>
      <c r="O52" s="95">
        <v>167.322979818435</v>
      </c>
      <c r="P52" s="95">
        <v>68.61482918918919</v>
      </c>
      <c r="Q52" s="95">
        <v>1.38256523470839</v>
      </c>
      <c r="R52" s="95">
        <v>183.846813252427</v>
      </c>
      <c r="S52" s="40">
        <v>1146</v>
      </c>
      <c r="T52" s="40">
        <v>100</v>
      </c>
      <c r="U52" s="40">
        <v>1.3</v>
      </c>
      <c r="V52" s="95">
        <v>22.1</v>
      </c>
      <c r="W52" s="95">
        <v>42.98</v>
      </c>
      <c r="X52" s="95">
        <v>48.1</v>
      </c>
      <c r="Y52" s="95">
        <v>46.6</v>
      </c>
      <c r="Z52" s="97">
        <v>96.5</v>
      </c>
      <c r="AA52" s="109" cm="1">
        <f t="array" ref="AA52">Z52/1.01325</f>
        <v>95.2380952380952</v>
      </c>
      <c r="AB52" s="110"/>
      <c r="AC52" s="110"/>
      <c r="AD52" s="110"/>
      <c r="AE52" s="110"/>
      <c r="AF52" s="110"/>
      <c r="AG52" s="110"/>
      <c r="AH52" s="108"/>
    </row>
    <row r="53" ht="15" customHeight="1">
      <c r="A53" s="37">
        <v>21202</v>
      </c>
      <c r="B53" s="57">
        <v>39285</v>
      </c>
      <c r="C53" s="40">
        <v>3559.5</v>
      </c>
      <c r="D53" s="95">
        <v>9.529999999999999</v>
      </c>
      <c r="E53" s="95">
        <v>289.7895</v>
      </c>
      <c r="F53" s="95">
        <v>390.810525</v>
      </c>
      <c r="G53" s="95">
        <v>100.820931642547</v>
      </c>
      <c r="H53" s="96">
        <v>285</v>
      </c>
      <c r="I53" s="95">
        <v>386.8</v>
      </c>
      <c r="J53" s="96">
        <v>100.65044</v>
      </c>
      <c r="K53" s="95">
        <v>59.9</v>
      </c>
      <c r="L53" s="95">
        <v>37.9</v>
      </c>
      <c r="M53" s="95">
        <v>107.5</v>
      </c>
      <c r="N53" s="95">
        <v>38.1874722865413</v>
      </c>
      <c r="O53" s="95">
        <v>357.347816405036</v>
      </c>
      <c r="P53" s="95">
        <v>151.630156063676</v>
      </c>
      <c r="Q53" s="95">
        <v>2.89125273516643</v>
      </c>
      <c r="R53" s="95">
        <v>393.863249237904</v>
      </c>
      <c r="S53" s="40">
        <v>2671</v>
      </c>
      <c r="T53" s="40">
        <v>222</v>
      </c>
      <c r="U53" s="40">
        <v>3</v>
      </c>
      <c r="V53" s="95">
        <v>22.1</v>
      </c>
      <c r="W53" s="95">
        <v>42.98</v>
      </c>
      <c r="X53" s="95">
        <v>48.1</v>
      </c>
      <c r="Y53" s="95">
        <v>46.6</v>
      </c>
      <c r="Z53" s="97">
        <v>97.59999999999999</v>
      </c>
      <c r="AA53" s="109" cm="1">
        <f t="array" ref="AA53">Z53/1.01325</f>
        <v>96.3237108314829</v>
      </c>
      <c r="AB53" s="110"/>
      <c r="AC53" s="110"/>
      <c r="AD53" s="110"/>
      <c r="AE53" s="110"/>
      <c r="AF53" s="110"/>
      <c r="AG53" s="110"/>
      <c r="AH53" s="108"/>
    </row>
    <row r="54" ht="15" customHeight="1">
      <c r="A54" s="37">
        <v>21202</v>
      </c>
      <c r="B54" s="57">
        <v>39286</v>
      </c>
      <c r="C54" s="40">
        <v>3559.5</v>
      </c>
      <c r="D54" s="95">
        <v>12.7</v>
      </c>
      <c r="E54" s="95">
        <v>264.356925</v>
      </c>
      <c r="F54" s="95">
        <v>376.422375</v>
      </c>
      <c r="G54" s="95">
        <v>101.831623923404</v>
      </c>
      <c r="H54" s="96">
        <v>259</v>
      </c>
      <c r="I54" s="95">
        <v>373.9</v>
      </c>
      <c r="J54" s="96">
        <v>102.06587</v>
      </c>
      <c r="K54" s="95">
        <v>66.8</v>
      </c>
      <c r="L54" s="95">
        <v>48.6</v>
      </c>
      <c r="M54" s="95">
        <v>107.4</v>
      </c>
      <c r="N54" s="95">
        <v>48.906679693617</v>
      </c>
      <c r="O54" s="95">
        <v>554.1669441361011</v>
      </c>
      <c r="P54" s="95">
        <v>248.055287693617</v>
      </c>
      <c r="Q54" s="95">
        <v>4.70591325957448</v>
      </c>
      <c r="R54" s="95">
        <v>613.9033633259839</v>
      </c>
      <c r="S54" s="40">
        <v>4437</v>
      </c>
      <c r="T54" s="40">
        <v>364</v>
      </c>
      <c r="U54" s="40">
        <v>5</v>
      </c>
      <c r="V54" s="95">
        <v>22.1</v>
      </c>
      <c r="W54" s="95">
        <v>42.98</v>
      </c>
      <c r="X54" s="95">
        <v>48.1</v>
      </c>
      <c r="Y54" s="95">
        <v>46.6</v>
      </c>
      <c r="Z54" s="97">
        <v>97.8</v>
      </c>
      <c r="AA54" s="109" cm="1">
        <f t="array" ref="AA54">Z54/1.01325</f>
        <v>96.52109548482611</v>
      </c>
      <c r="AB54" s="110"/>
      <c r="AC54" s="110"/>
      <c r="AD54" s="110"/>
      <c r="AE54" s="110"/>
      <c r="AF54" s="110"/>
      <c r="AG54" s="110"/>
      <c r="AH54" s="108"/>
    </row>
    <row r="55" ht="15" customHeight="1">
      <c r="A55" s="37">
        <v>21202</v>
      </c>
      <c r="B55" s="57">
        <v>39287</v>
      </c>
      <c r="C55" s="40">
        <v>3559.5</v>
      </c>
      <c r="D55" s="95">
        <v>14.29</v>
      </c>
      <c r="E55" s="95">
        <v>245.105175</v>
      </c>
      <c r="F55" s="95">
        <v>366.695175</v>
      </c>
      <c r="G55" s="95">
        <v>101.264891224863</v>
      </c>
      <c r="H55" s="96">
        <v>241</v>
      </c>
      <c r="I55" s="95">
        <v>372.8</v>
      </c>
      <c r="J55" s="96">
        <v>101.15301</v>
      </c>
      <c r="K55" s="95">
        <v>68.5</v>
      </c>
      <c r="L55" s="95">
        <v>52</v>
      </c>
      <c r="M55" s="95">
        <v>107.2</v>
      </c>
      <c r="N55" s="95">
        <v>52.2584378427788</v>
      </c>
      <c r="O55" s="95">
        <v>630.620153689360</v>
      </c>
      <c r="P55" s="95">
        <v>284.276933528337</v>
      </c>
      <c r="Q55" s="95">
        <v>5.20831283363803</v>
      </c>
      <c r="R55" s="95">
        <v>699.079247595817</v>
      </c>
      <c r="S55" s="40">
        <v>5207</v>
      </c>
      <c r="T55" s="40">
        <v>416</v>
      </c>
      <c r="U55" s="40">
        <v>5</v>
      </c>
      <c r="V55" s="95">
        <v>22.1</v>
      </c>
      <c r="W55" s="95">
        <v>42.98</v>
      </c>
      <c r="X55" s="95">
        <v>48.1</v>
      </c>
      <c r="Y55" s="95">
        <v>46.6</v>
      </c>
      <c r="Z55" s="97">
        <v>96.8</v>
      </c>
      <c r="AA55" s="109" cm="1">
        <f t="array" ref="AA55">Z55/1.01325</f>
        <v>95.534172218110</v>
      </c>
      <c r="AB55" s="110"/>
      <c r="AC55" s="110"/>
      <c r="AD55" s="110"/>
      <c r="AE55" s="110"/>
      <c r="AF55" s="110"/>
      <c r="AG55" s="110"/>
      <c r="AH55" s="108"/>
    </row>
    <row r="56" ht="15" customHeight="1">
      <c r="A56" s="37">
        <v>21202</v>
      </c>
      <c r="B56" s="57">
        <v>39779</v>
      </c>
      <c r="C56" s="40">
        <v>3570</v>
      </c>
      <c r="D56" s="95">
        <v>7.94</v>
      </c>
      <c r="E56" s="95">
        <v>277.916666666667</v>
      </c>
      <c r="F56" s="95">
        <v>381.26</v>
      </c>
      <c r="G56" s="95">
        <v>89.5874216142653</v>
      </c>
      <c r="H56" s="96">
        <v>278</v>
      </c>
      <c r="I56" s="95">
        <v>379.2</v>
      </c>
      <c r="J56" s="96">
        <v>88.88085</v>
      </c>
      <c r="K56" s="95">
        <v>52</v>
      </c>
      <c r="L56" s="95">
        <v>25.6</v>
      </c>
      <c r="M56" s="95">
        <v>106.32</v>
      </c>
      <c r="N56" s="95">
        <v>25.9397827311122</v>
      </c>
      <c r="O56" s="95">
        <v>219.548581900178</v>
      </c>
      <c r="P56" s="95">
        <v>102.507459446269</v>
      </c>
      <c r="Q56" s="95">
        <v>1.9337614265603</v>
      </c>
      <c r="R56" s="95">
        <v>238.350383724050</v>
      </c>
      <c r="S56" s="40">
        <v>1942</v>
      </c>
      <c r="T56" s="40">
        <v>146</v>
      </c>
      <c r="U56" s="40">
        <v>2</v>
      </c>
      <c r="V56" s="95">
        <v>22.1</v>
      </c>
      <c r="W56" s="95">
        <v>40.06</v>
      </c>
      <c r="X56" s="95">
        <v>41.7</v>
      </c>
      <c r="Y56" s="95">
        <v>42.1</v>
      </c>
      <c r="Z56" s="97">
        <v>85.59999999999999</v>
      </c>
      <c r="AA56" s="109" cm="1">
        <f t="array" ref="AA56">Z56/1.01325</f>
        <v>84.4806316308907</v>
      </c>
      <c r="AB56" s="110"/>
      <c r="AC56" s="110"/>
      <c r="AD56" s="110"/>
      <c r="AE56" s="110"/>
      <c r="AF56" s="110"/>
      <c r="AG56" s="110"/>
      <c r="AH56" s="108"/>
    </row>
    <row r="57" ht="15" customHeight="1">
      <c r="A57" s="37">
        <v>21202</v>
      </c>
      <c r="B57" s="57">
        <v>39781</v>
      </c>
      <c r="C57" s="40">
        <v>3570</v>
      </c>
      <c r="D57" s="95">
        <v>9.529999999999999</v>
      </c>
      <c r="E57" s="95">
        <v>268.944444444444</v>
      </c>
      <c r="F57" s="95">
        <v>378.82</v>
      </c>
      <c r="G57" s="95">
        <v>91.79511629318451</v>
      </c>
      <c r="H57" s="96">
        <v>269</v>
      </c>
      <c r="I57" s="95">
        <v>373</v>
      </c>
      <c r="J57" s="96">
        <v>91.43714</v>
      </c>
      <c r="K57" s="95">
        <v>58</v>
      </c>
      <c r="L57" s="95">
        <v>33.4</v>
      </c>
      <c r="M57" s="95">
        <v>106.35</v>
      </c>
      <c r="N57" s="95">
        <v>33.6706954948646</v>
      </c>
      <c r="O57" s="95">
        <v>312.677955174902</v>
      </c>
      <c r="P57" s="95">
        <v>143.396674957983</v>
      </c>
      <c r="Q57" s="95">
        <v>4.41903507002801</v>
      </c>
      <c r="R57" s="95">
        <v>338.981324397266</v>
      </c>
      <c r="S57" s="40">
        <v>2873</v>
      </c>
      <c r="T57" s="40">
        <v>205</v>
      </c>
      <c r="U57" s="40">
        <v>4.3</v>
      </c>
      <c r="V57" s="95">
        <v>22.1</v>
      </c>
      <c r="W57" s="95">
        <v>40.06</v>
      </c>
      <c r="X57" s="95">
        <v>41.7</v>
      </c>
      <c r="Y57" s="95">
        <v>42.1</v>
      </c>
      <c r="Z57" s="97">
        <v>87.59999999999999</v>
      </c>
      <c r="AA57" s="109" cm="1">
        <f t="array" ref="AA57">Z57/1.01325</f>
        <v>86.45447816432269</v>
      </c>
      <c r="AB57" s="110"/>
      <c r="AC57" s="110"/>
      <c r="AD57" s="110"/>
      <c r="AE57" s="110"/>
      <c r="AF57" s="110"/>
      <c r="AG57" s="110"/>
      <c r="AH57" s="108"/>
    </row>
    <row r="58" ht="15" customHeight="1">
      <c r="A58" s="37">
        <v>21202</v>
      </c>
      <c r="B58" s="57">
        <v>39782</v>
      </c>
      <c r="C58" s="40">
        <v>3570</v>
      </c>
      <c r="D58" s="95">
        <v>11.11</v>
      </c>
      <c r="E58" s="95">
        <v>260.305555555556</v>
      </c>
      <c r="F58" s="95">
        <v>372.62</v>
      </c>
      <c r="G58" s="95">
        <v>94.275806150978</v>
      </c>
      <c r="H58" s="96">
        <v>259</v>
      </c>
      <c r="I58" s="95">
        <v>365.1</v>
      </c>
      <c r="J58" s="96">
        <v>94.22627</v>
      </c>
      <c r="K58" s="95">
        <v>64</v>
      </c>
      <c r="L58" s="95">
        <v>40.7</v>
      </c>
      <c r="M58" s="95">
        <v>106.34</v>
      </c>
      <c r="N58" s="95">
        <v>40.7762754240448</v>
      </c>
      <c r="O58" s="95">
        <v>393.565879090401</v>
      </c>
      <c r="P58" s="95">
        <v>187.108940242311</v>
      </c>
      <c r="Q58" s="95">
        <v>6.63529767008387</v>
      </c>
      <c r="R58" s="95">
        <v>427.888294028511</v>
      </c>
      <c r="S58" s="40">
        <v>3692</v>
      </c>
      <c r="T58" s="40">
        <v>269</v>
      </c>
      <c r="U58" s="40">
        <v>7</v>
      </c>
      <c r="V58" s="95">
        <v>22.1</v>
      </c>
      <c r="W58" s="95">
        <v>40.06</v>
      </c>
      <c r="X58" s="95">
        <v>41.7</v>
      </c>
      <c r="Y58" s="95">
        <v>42.1</v>
      </c>
      <c r="Z58" s="97">
        <v>89.59999999999999</v>
      </c>
      <c r="AA58" s="109" cm="1">
        <f t="array" ref="AA58">Z58/1.01325</f>
        <v>88.4283246977547</v>
      </c>
      <c r="AB58" s="110"/>
      <c r="AC58" s="110"/>
      <c r="AD58" s="110"/>
      <c r="AE58" s="110"/>
      <c r="AF58" s="110"/>
      <c r="AG58" s="110"/>
      <c r="AH58" s="108"/>
    </row>
    <row r="59" ht="15" customHeight="1">
      <c r="A59" s="37">
        <v>21202</v>
      </c>
      <c r="B59" s="57">
        <v>39784</v>
      </c>
      <c r="C59" s="40">
        <v>3570</v>
      </c>
      <c r="D59" s="95">
        <v>12.7</v>
      </c>
      <c r="E59" s="95">
        <v>249.083333333333</v>
      </c>
      <c r="F59" s="95">
        <v>364.64</v>
      </c>
      <c r="G59" s="95">
        <v>96.1803338580094</v>
      </c>
      <c r="H59" s="96">
        <v>248</v>
      </c>
      <c r="I59" s="95">
        <v>356.7</v>
      </c>
      <c r="J59" s="96">
        <v>96.33394</v>
      </c>
      <c r="K59" s="95">
        <v>65</v>
      </c>
      <c r="L59" s="95">
        <v>45</v>
      </c>
      <c r="M59" s="95">
        <v>106.3</v>
      </c>
      <c r="N59" s="95">
        <v>44.9258753713218</v>
      </c>
      <c r="O59" s="95">
        <v>464.364247147540</v>
      </c>
      <c r="P59" s="95">
        <v>219.667867090145</v>
      </c>
      <c r="Q59" s="95">
        <v>9.157682241943039</v>
      </c>
      <c r="R59" s="95">
        <v>504.660491654114</v>
      </c>
      <c r="S59" s="40">
        <v>4383</v>
      </c>
      <c r="T59" s="40">
        <v>318</v>
      </c>
      <c r="U59" s="40">
        <v>9.300000000000001</v>
      </c>
      <c r="V59" s="95">
        <v>22.1</v>
      </c>
      <c r="W59" s="95">
        <v>40.06</v>
      </c>
      <c r="X59" s="95">
        <v>41.7</v>
      </c>
      <c r="Y59" s="95">
        <v>42.1</v>
      </c>
      <c r="Z59" s="97">
        <v>90.59999999999999</v>
      </c>
      <c r="AA59" s="109" cm="1">
        <f t="array" ref="AA59">Z59/1.01325</f>
        <v>89.41524796447079</v>
      </c>
      <c r="AB59" s="110"/>
      <c r="AC59" s="110"/>
      <c r="AD59" s="110"/>
      <c r="AE59" s="110"/>
      <c r="AF59" s="110"/>
      <c r="AG59" s="110"/>
      <c r="AH59" s="108"/>
    </row>
    <row r="60" ht="15" customHeight="1">
      <c r="A60" s="37">
        <v>21202</v>
      </c>
      <c r="B60" s="57">
        <v>39785</v>
      </c>
      <c r="C60" s="40">
        <v>3570</v>
      </c>
      <c r="D60" s="95">
        <v>14.29</v>
      </c>
      <c r="E60" s="95">
        <v>229.111111111111</v>
      </c>
      <c r="F60" s="95">
        <v>356.05</v>
      </c>
      <c r="G60" s="95">
        <v>102.962475996249</v>
      </c>
      <c r="H60" s="96">
        <v>229</v>
      </c>
      <c r="I60" s="95">
        <v>345.5</v>
      </c>
      <c r="J60" s="96">
        <v>110.25928</v>
      </c>
      <c r="K60" s="95">
        <v>70</v>
      </c>
      <c r="L60" s="95">
        <v>50.7</v>
      </c>
      <c r="M60" s="95">
        <v>106.25</v>
      </c>
      <c r="N60" s="95">
        <v>50.9079042287858</v>
      </c>
      <c r="O60" s="95">
        <v>557.377931224418</v>
      </c>
      <c r="P60" s="95">
        <v>264.386916005626</v>
      </c>
      <c r="Q60" s="95">
        <v>11.2221067791843</v>
      </c>
      <c r="R60" s="95">
        <v>605.8777137266291</v>
      </c>
      <c r="S60" s="40">
        <v>5030</v>
      </c>
      <c r="T60" s="40">
        <v>390</v>
      </c>
      <c r="U60" s="40">
        <v>11.2</v>
      </c>
      <c r="V60" s="95">
        <v>22.1</v>
      </c>
      <c r="W60" s="95">
        <v>40.06</v>
      </c>
      <c r="X60" s="95">
        <v>41.7</v>
      </c>
      <c r="Y60" s="95">
        <v>42.1</v>
      </c>
      <c r="Z60" s="97">
        <v>93.2</v>
      </c>
      <c r="AA60" s="109" cm="1">
        <f t="array" ref="AA60">Z60/1.01325</f>
        <v>91.9812484579324</v>
      </c>
      <c r="AB60" s="110"/>
      <c r="AC60" s="110"/>
      <c r="AD60" s="110"/>
      <c r="AE60" s="110"/>
      <c r="AF60" s="110"/>
      <c r="AG60" s="110"/>
      <c r="AH60" s="108"/>
    </row>
    <row r="61" ht="15" customHeight="1">
      <c r="A61" s="37">
        <v>21203</v>
      </c>
      <c r="B61" s="57">
        <v>39347</v>
      </c>
      <c r="C61" s="40">
        <v>3480</v>
      </c>
      <c r="D61" s="95">
        <v>6.35</v>
      </c>
      <c r="E61" s="95">
        <v>331.33275</v>
      </c>
      <c r="F61" s="95">
        <v>432.0498</v>
      </c>
      <c r="G61" s="95">
        <v>97.74763876860619</v>
      </c>
      <c r="H61" s="95">
        <v>331.33275</v>
      </c>
      <c r="I61" s="95">
        <v>432.0498</v>
      </c>
      <c r="J61" s="95">
        <v>97.74763876860619</v>
      </c>
      <c r="K61" s="95">
        <v>44</v>
      </c>
      <c r="L61" s="95">
        <v>22</v>
      </c>
      <c r="M61" s="95">
        <v>106.3</v>
      </c>
      <c r="N61" s="95">
        <v>21.7122692286874</v>
      </c>
      <c r="O61" s="95">
        <v>184.861829290158</v>
      </c>
      <c r="P61" s="95">
        <v>65.0140172530446</v>
      </c>
      <c r="Q61" s="95">
        <v>0.728749154262517</v>
      </c>
      <c r="R61" s="95">
        <v>193.772871513815</v>
      </c>
      <c r="S61" s="40">
        <v>1324</v>
      </c>
      <c r="T61" s="40">
        <v>91.09999999999999</v>
      </c>
      <c r="U61" s="40">
        <v>0.7</v>
      </c>
      <c r="V61" s="95">
        <v>55.9</v>
      </c>
      <c r="W61" s="95">
        <v>45.17</v>
      </c>
      <c r="X61" s="95">
        <v>62</v>
      </c>
      <c r="Y61" s="95">
        <v>61.3</v>
      </c>
      <c r="Z61" s="97">
        <v>96.3</v>
      </c>
      <c r="AA61" s="109" cm="1">
        <f t="array" ref="AA61">Z61/1.01325</f>
        <v>95.04071058475201</v>
      </c>
      <c r="AB61" s="110"/>
      <c r="AC61" s="110"/>
      <c r="AD61" s="110"/>
      <c r="AE61" s="110"/>
      <c r="AF61" s="110"/>
      <c r="AG61" s="110"/>
      <c r="AH61" s="108"/>
    </row>
    <row r="62" ht="15" customHeight="1">
      <c r="A62" s="37">
        <v>21203</v>
      </c>
      <c r="B62" s="57">
        <v>39348</v>
      </c>
      <c r="C62" s="40">
        <v>3480</v>
      </c>
      <c r="D62" s="95">
        <v>9.529999999999999</v>
      </c>
      <c r="E62" s="95">
        <v>320.187</v>
      </c>
      <c r="F62" s="95">
        <v>421.71465</v>
      </c>
      <c r="G62" s="95">
        <v>99.540912951895</v>
      </c>
      <c r="H62" s="95">
        <v>320.187</v>
      </c>
      <c r="I62" s="95">
        <v>421.71465</v>
      </c>
      <c r="J62" s="95">
        <v>99.540912951895</v>
      </c>
      <c r="K62" s="95">
        <v>57</v>
      </c>
      <c r="L62" s="95">
        <v>35</v>
      </c>
      <c r="M62" s="95">
        <v>106.414</v>
      </c>
      <c r="N62" s="95">
        <v>35.5986591836735</v>
      </c>
      <c r="O62" s="95">
        <v>392.030838511297</v>
      </c>
      <c r="P62" s="95">
        <v>137.230015663265</v>
      </c>
      <c r="Q62" s="95">
        <v>0.380386807580175</v>
      </c>
      <c r="R62" s="95">
        <v>410.840050979571</v>
      </c>
      <c r="S62" s="40">
        <v>3049</v>
      </c>
      <c r="T62" s="40">
        <v>192.2</v>
      </c>
      <c r="U62" s="40">
        <v>0.4</v>
      </c>
      <c r="V62" s="95">
        <v>55.9</v>
      </c>
      <c r="W62" s="95">
        <v>45.17</v>
      </c>
      <c r="X62" s="95">
        <v>62</v>
      </c>
      <c r="Y62" s="95">
        <v>61.3</v>
      </c>
      <c r="Z62" s="97">
        <v>96.7</v>
      </c>
      <c r="AA62" s="109" cm="1">
        <f t="array" ref="AA62">Z62/1.01325</f>
        <v>95.4354798914384</v>
      </c>
      <c r="AB62" s="110"/>
      <c r="AC62" s="110"/>
      <c r="AD62" s="110"/>
      <c r="AE62" s="110"/>
      <c r="AF62" s="110"/>
      <c r="AG62" s="110"/>
      <c r="AH62" s="108"/>
    </row>
    <row r="63" ht="15" customHeight="1">
      <c r="A63" s="37">
        <v>21203</v>
      </c>
      <c r="B63" s="57">
        <v>39349</v>
      </c>
      <c r="C63" s="40">
        <v>3480</v>
      </c>
      <c r="D63" s="95">
        <v>11.11</v>
      </c>
      <c r="E63" s="95">
        <v>306.0015</v>
      </c>
      <c r="F63" s="95">
        <v>413.406</v>
      </c>
      <c r="G63" s="95">
        <v>97.63249315194351</v>
      </c>
      <c r="H63" s="95">
        <v>306.0015</v>
      </c>
      <c r="I63" s="95">
        <v>413.406</v>
      </c>
      <c r="J63" s="95">
        <v>97.63249315194351</v>
      </c>
      <c r="K63" s="95">
        <v>62</v>
      </c>
      <c r="L63" s="95">
        <v>41</v>
      </c>
      <c r="M63" s="95">
        <v>106.37</v>
      </c>
      <c r="N63" s="95">
        <v>41.5561893215547</v>
      </c>
      <c r="O63" s="95">
        <v>499.103480565371</v>
      </c>
      <c r="P63" s="95">
        <v>172.148253300354</v>
      </c>
      <c r="Q63" s="95">
        <v>0.708122007067137</v>
      </c>
      <c r="R63" s="95">
        <v>522.698705390775</v>
      </c>
      <c r="S63" s="40">
        <v>4138</v>
      </c>
      <c r="T63" s="40">
        <v>238.9</v>
      </c>
      <c r="U63" s="40">
        <v>0.7</v>
      </c>
      <c r="V63" s="95">
        <v>55.9</v>
      </c>
      <c r="W63" s="95">
        <v>45.17</v>
      </c>
      <c r="X63" s="95">
        <v>62</v>
      </c>
      <c r="Y63" s="95">
        <v>61.3</v>
      </c>
      <c r="Z63" s="97">
        <v>95.3</v>
      </c>
      <c r="AA63" s="109" cm="1">
        <f t="array" ref="AA63">Z63/1.01325</f>
        <v>94.053787318036</v>
      </c>
      <c r="AB63" s="110"/>
      <c r="AC63" s="110"/>
      <c r="AD63" s="110"/>
      <c r="AE63" s="110"/>
      <c r="AF63" s="110"/>
      <c r="AG63" s="110"/>
      <c r="AH63" s="108"/>
    </row>
    <row r="64" ht="15" customHeight="1">
      <c r="A64" s="37">
        <v>21203</v>
      </c>
      <c r="B64" s="57">
        <v>39350</v>
      </c>
      <c r="C64" s="40">
        <v>3480</v>
      </c>
      <c r="D64" s="95">
        <v>12.7</v>
      </c>
      <c r="E64" s="95">
        <v>277.6305</v>
      </c>
      <c r="F64" s="95">
        <v>400.943025</v>
      </c>
      <c r="G64" s="95">
        <v>97.07964945039259</v>
      </c>
      <c r="H64" s="95">
        <v>277.6305</v>
      </c>
      <c r="I64" s="95">
        <v>400.943025</v>
      </c>
      <c r="J64" s="95">
        <v>97.07964945039259</v>
      </c>
      <c r="K64" s="95">
        <v>67</v>
      </c>
      <c r="L64" s="95">
        <v>48</v>
      </c>
      <c r="M64" s="95">
        <v>106.3</v>
      </c>
      <c r="N64" s="95">
        <v>46.8296130977874</v>
      </c>
      <c r="O64" s="95">
        <v>614.5220235546039</v>
      </c>
      <c r="P64" s="95">
        <v>212.284319678801</v>
      </c>
      <c r="Q64" s="95">
        <v>1.15811552462527</v>
      </c>
      <c r="R64" s="95">
        <v>645.270096577731</v>
      </c>
      <c r="S64" s="40">
        <v>5300</v>
      </c>
      <c r="T64" s="40">
        <v>293.4</v>
      </c>
      <c r="U64" s="40">
        <v>1.2</v>
      </c>
      <c r="V64" s="95">
        <v>55.9</v>
      </c>
      <c r="W64" s="95">
        <v>45.17</v>
      </c>
      <c r="X64" s="95">
        <v>62</v>
      </c>
      <c r="Y64" s="95">
        <v>61.3</v>
      </c>
      <c r="Z64" s="97">
        <v>95.2</v>
      </c>
      <c r="AA64" s="109" cm="1">
        <f t="array" ref="AA64">Z64/1.01325</f>
        <v>93.9550949913644</v>
      </c>
      <c r="AB64" s="110"/>
      <c r="AC64" s="110"/>
      <c r="AD64" s="110"/>
      <c r="AE64" s="110"/>
      <c r="AF64" s="110"/>
      <c r="AG64" s="110"/>
      <c r="AH64" s="108"/>
    </row>
    <row r="65" ht="15" customHeight="1">
      <c r="A65" s="37">
        <v>21203</v>
      </c>
      <c r="B65" s="57">
        <v>39352</v>
      </c>
      <c r="C65" s="40">
        <v>3480</v>
      </c>
      <c r="D65" s="95">
        <v>14.29</v>
      </c>
      <c r="E65" s="95">
        <v>264.45825</v>
      </c>
      <c r="F65" s="95">
        <v>385.8456</v>
      </c>
      <c r="G65" s="95">
        <v>103.065861329480</v>
      </c>
      <c r="H65" s="95">
        <v>264.45825</v>
      </c>
      <c r="I65" s="95">
        <v>385.8456</v>
      </c>
      <c r="J65" s="95">
        <v>103.065861329480</v>
      </c>
      <c r="K65" s="95">
        <v>67</v>
      </c>
      <c r="L65" s="95">
        <v>50</v>
      </c>
      <c r="M65" s="95">
        <v>106.2</v>
      </c>
      <c r="N65" s="95">
        <v>49.9501346242774</v>
      </c>
      <c r="O65" s="95">
        <v>688.717395881503</v>
      </c>
      <c r="P65" s="95">
        <v>264</v>
      </c>
      <c r="Q65" s="95">
        <v>4.00034061271676</v>
      </c>
      <c r="R65" s="95">
        <v>726.956165897055</v>
      </c>
      <c r="S65" s="40">
        <v>5609</v>
      </c>
      <c r="T65" s="40">
        <v>366.4</v>
      </c>
      <c r="U65" s="40">
        <v>4.1</v>
      </c>
      <c r="V65" s="95">
        <v>55.9</v>
      </c>
      <c r="W65" s="95">
        <v>45.17</v>
      </c>
      <c r="X65" s="95">
        <v>62</v>
      </c>
      <c r="Y65" s="95">
        <v>61.3</v>
      </c>
      <c r="Z65" s="97">
        <v>92.7</v>
      </c>
      <c r="AA65" s="109" cm="1">
        <f t="array" ref="AA65">Z65/1.01325</f>
        <v>91.4877868245744</v>
      </c>
      <c r="AB65" s="110"/>
      <c r="AC65" s="110"/>
      <c r="AD65" s="110"/>
      <c r="AE65" s="110"/>
      <c r="AF65" s="110"/>
      <c r="AG65" s="110"/>
      <c r="AH65" s="108"/>
    </row>
    <row r="66" ht="15" customHeight="1">
      <c r="A66" s="37">
        <v>21203</v>
      </c>
      <c r="B66" s="57">
        <v>39922</v>
      </c>
      <c r="C66" s="40">
        <v>3480.6</v>
      </c>
      <c r="D66" s="95">
        <v>7.94</v>
      </c>
      <c r="E66" s="95">
        <v>276</v>
      </c>
      <c r="F66" s="95">
        <v>376.653</v>
      </c>
      <c r="G66" s="95">
        <v>97.054137614506</v>
      </c>
      <c r="H66" s="96">
        <v>276</v>
      </c>
      <c r="I66" s="95">
        <v>376.6</v>
      </c>
      <c r="J66" s="96">
        <v>97.19684599999999</v>
      </c>
      <c r="K66" s="95">
        <v>53.3</v>
      </c>
      <c r="L66" s="95">
        <v>29</v>
      </c>
      <c r="M66" s="95">
        <v>105.97</v>
      </c>
      <c r="N66" s="95">
        <v>29.407191398380</v>
      </c>
      <c r="O66" s="95">
        <v>246.487</v>
      </c>
      <c r="P66" s="95">
        <v>75.315</v>
      </c>
      <c r="Q66" s="95">
        <v>1.48</v>
      </c>
      <c r="R66" s="95">
        <v>258.68574425</v>
      </c>
      <c r="S66" s="40">
        <v>2012</v>
      </c>
      <c r="T66" s="40">
        <v>117</v>
      </c>
      <c r="U66" s="40">
        <v>1.5</v>
      </c>
      <c r="V66" s="95">
        <v>63.5193</v>
      </c>
      <c r="W66" s="95">
        <v>39.7</v>
      </c>
      <c r="X66" t="s" s="87">
        <v>44</v>
      </c>
      <c r="Y66" t="s" s="87">
        <v>44</v>
      </c>
      <c r="Z66" s="97">
        <v>93.40000000000001</v>
      </c>
      <c r="AA66" s="109" cm="1">
        <f t="array" ref="AA66">Z66/1.01325</f>
        <v>92.1786331112756</v>
      </c>
      <c r="AB66" s="110"/>
      <c r="AC66" s="110"/>
      <c r="AD66" s="110"/>
      <c r="AE66" s="110"/>
      <c r="AF66" s="110"/>
      <c r="AG66" s="110"/>
      <c r="AH66" s="108"/>
    </row>
    <row r="67" ht="15" customHeight="1">
      <c r="A67" s="37">
        <v>21203</v>
      </c>
      <c r="B67" s="57">
        <v>39924</v>
      </c>
      <c r="C67" s="40">
        <v>3480.6</v>
      </c>
      <c r="D67" s="95">
        <v>9.529999999999999</v>
      </c>
      <c r="E67" s="95">
        <v>272.3</v>
      </c>
      <c r="F67" s="95">
        <v>373.775</v>
      </c>
      <c r="G67" s="95">
        <v>95.5730548124146</v>
      </c>
      <c r="H67" s="96">
        <v>272</v>
      </c>
      <c r="I67" s="95">
        <v>366.8</v>
      </c>
      <c r="J67" s="96">
        <v>93.29389999999999</v>
      </c>
      <c r="K67" s="95">
        <v>54.3</v>
      </c>
      <c r="L67" s="95">
        <v>35.8</v>
      </c>
      <c r="M67" s="95">
        <v>106.01</v>
      </c>
      <c r="N67" s="95">
        <v>35.8883891496205</v>
      </c>
      <c r="O67" s="95">
        <v>347.959</v>
      </c>
      <c r="P67" s="95">
        <v>97.65900000000001</v>
      </c>
      <c r="Q67" s="95">
        <v>3.71</v>
      </c>
      <c r="R67" s="95">
        <v>363.84889953</v>
      </c>
      <c r="S67" s="40">
        <v>3035</v>
      </c>
      <c r="T67" s="40">
        <v>150</v>
      </c>
      <c r="U67" s="40">
        <v>3.5</v>
      </c>
      <c r="V67" s="95">
        <v>63.5193</v>
      </c>
      <c r="W67" s="95">
        <v>39.7</v>
      </c>
      <c r="X67" t="s" s="87">
        <v>44</v>
      </c>
      <c r="Y67" t="s" s="87">
        <v>44</v>
      </c>
      <c r="Z67" s="97">
        <v>95.40000000000001</v>
      </c>
      <c r="AA67" s="109" cm="1">
        <f t="array" ref="AA67">Z67/1.01325</f>
        <v>94.1524796447076</v>
      </c>
      <c r="AB67" s="110"/>
      <c r="AC67" s="110"/>
      <c r="AD67" s="110"/>
      <c r="AE67" s="110"/>
      <c r="AF67" s="110"/>
      <c r="AG67" s="110"/>
      <c r="AH67" s="108"/>
    </row>
    <row r="68" ht="15" customHeight="1">
      <c r="A68" s="37">
        <v>21203</v>
      </c>
      <c r="B68" s="57">
        <v>39929</v>
      </c>
      <c r="C68" s="40">
        <v>3480.6</v>
      </c>
      <c r="D68" s="95">
        <v>11.11</v>
      </c>
      <c r="E68" s="95">
        <v>261.8</v>
      </c>
      <c r="F68" s="95">
        <v>363.642</v>
      </c>
      <c r="G68" s="95">
        <v>94.6564095775436</v>
      </c>
      <c r="H68" s="96">
        <v>262</v>
      </c>
      <c r="I68" s="95">
        <v>354</v>
      </c>
      <c r="J68" s="96">
        <v>94.025223</v>
      </c>
      <c r="K68" s="95">
        <v>61.9</v>
      </c>
      <c r="L68" s="95">
        <v>40.9</v>
      </c>
      <c r="M68" s="95">
        <v>105.95</v>
      </c>
      <c r="N68" s="95">
        <v>40.9034067494737</v>
      </c>
      <c r="O68" s="95">
        <v>444.391</v>
      </c>
      <c r="P68" s="95">
        <v>119.474</v>
      </c>
      <c r="Q68" s="95">
        <v>3.523</v>
      </c>
      <c r="R68" s="95">
        <v>463.56054208</v>
      </c>
      <c r="S68" s="40">
        <v>4049.1</v>
      </c>
      <c r="T68" s="40">
        <v>182.7</v>
      </c>
      <c r="U68" s="40">
        <v>3.5</v>
      </c>
      <c r="V68" s="95">
        <v>63.5193</v>
      </c>
      <c r="W68" s="95">
        <v>39.7</v>
      </c>
      <c r="X68" t="s" s="87">
        <v>44</v>
      </c>
      <c r="Y68" t="s" s="87">
        <v>44</v>
      </c>
      <c r="Z68" s="97">
        <v>90.90000000000001</v>
      </c>
      <c r="AA68" s="109" cm="1">
        <f t="array" ref="AA68">Z68/1.01325</f>
        <v>89.7113249444856</v>
      </c>
      <c r="AB68" s="110"/>
      <c r="AC68" s="110"/>
      <c r="AD68" s="110"/>
      <c r="AE68" s="110"/>
      <c r="AF68" s="110"/>
      <c r="AG68" s="110"/>
      <c r="AH68" s="108"/>
    </row>
    <row r="69" ht="15" customHeight="1">
      <c r="A69" s="37">
        <v>21203</v>
      </c>
      <c r="B69" s="57">
        <v>39934</v>
      </c>
      <c r="C69" s="40">
        <v>3480.6</v>
      </c>
      <c r="D69" s="95">
        <v>12.7</v>
      </c>
      <c r="E69" s="95">
        <v>246.7</v>
      </c>
      <c r="F69" s="95">
        <v>351.18</v>
      </c>
      <c r="G69" s="95">
        <v>97.4180405895988</v>
      </c>
      <c r="H69" s="96">
        <v>245</v>
      </c>
      <c r="I69" s="95">
        <v>341.2</v>
      </c>
      <c r="J69" s="96">
        <v>100.192825</v>
      </c>
      <c r="K69" s="95">
        <v>64.40000000000001</v>
      </c>
      <c r="L69" s="95">
        <v>45.2</v>
      </c>
      <c r="M69" s="95">
        <v>105.85</v>
      </c>
      <c r="N69" s="95">
        <v>45.1380280264231</v>
      </c>
      <c r="O69" s="95">
        <v>515.3630000000001</v>
      </c>
      <c r="P69" s="95">
        <v>134.335</v>
      </c>
      <c r="Q69" s="95">
        <v>4.416</v>
      </c>
      <c r="R69" s="95">
        <v>536.95639385</v>
      </c>
      <c r="S69" s="40">
        <v>4662.42</v>
      </c>
      <c r="T69" s="40">
        <v>207.1</v>
      </c>
      <c r="U69" s="40">
        <v>4.4</v>
      </c>
      <c r="V69" s="95">
        <v>63.5193</v>
      </c>
      <c r="W69" s="95">
        <v>39.7</v>
      </c>
      <c r="X69" t="s" s="87">
        <v>44</v>
      </c>
      <c r="Y69" t="s" s="87">
        <v>44</v>
      </c>
      <c r="Z69" s="97">
        <v>90.3</v>
      </c>
      <c r="AA69" s="109" cm="1">
        <f t="array" ref="AA69">Z69/1.01325</f>
        <v>89.11917098445601</v>
      </c>
      <c r="AB69" s="110"/>
      <c r="AC69" s="110"/>
      <c r="AD69" s="110"/>
      <c r="AE69" s="110"/>
      <c r="AF69" s="110"/>
      <c r="AG69" s="110"/>
      <c r="AH69" s="108"/>
    </row>
    <row r="70" ht="15" customHeight="1">
      <c r="A70" s="37">
        <v>21203</v>
      </c>
      <c r="B70" s="57">
        <v>40293</v>
      </c>
      <c r="C70" s="40">
        <v>3478.5</v>
      </c>
      <c r="D70" s="95">
        <v>9.529999999999999</v>
      </c>
      <c r="E70" s="95">
        <v>260</v>
      </c>
      <c r="F70" s="95">
        <v>347</v>
      </c>
      <c r="G70" s="95">
        <v>93.8521631944443</v>
      </c>
      <c r="H70" s="95">
        <v>260</v>
      </c>
      <c r="I70" s="95">
        <v>345.7</v>
      </c>
      <c r="J70" s="95">
        <v>94.3630645161288</v>
      </c>
      <c r="K70" s="95">
        <v>57</v>
      </c>
      <c r="L70" s="95">
        <v>34.3</v>
      </c>
      <c r="M70" s="95">
        <v>106.51</v>
      </c>
      <c r="N70" s="95">
        <v>35.2938375</v>
      </c>
      <c r="O70" s="95">
        <v>347.857013888889</v>
      </c>
      <c r="P70" s="95">
        <v>67.78740000000001</v>
      </c>
      <c r="Q70" s="95">
        <v>5.48866437499999</v>
      </c>
      <c r="R70" s="95">
        <v>360.525188873264</v>
      </c>
      <c r="S70" s="40">
        <v>3019.1</v>
      </c>
      <c r="T70" s="40">
        <v>104</v>
      </c>
      <c r="U70" s="40">
        <v>5.6</v>
      </c>
      <c r="V70" s="95">
        <v>63.5193</v>
      </c>
      <c r="W70" s="95">
        <v>39.4921</v>
      </c>
      <c r="X70" t="s" s="87">
        <v>44</v>
      </c>
      <c r="Y70" t="s" s="87">
        <v>44</v>
      </c>
      <c r="Z70" s="97">
        <v>87.90000000000001</v>
      </c>
      <c r="AA70" s="109" cm="1">
        <f t="array" ref="AA70">Z70/1.01325</f>
        <v>86.7505551443375</v>
      </c>
      <c r="AB70" s="110"/>
      <c r="AC70" s="110">
        <v>779.8</v>
      </c>
      <c r="AD70" s="110"/>
      <c r="AE70" s="110">
        <v>0.668</v>
      </c>
      <c r="AF70" s="110"/>
      <c r="AG70" s="110"/>
      <c r="AH70" s="111">
        <v>0.152</v>
      </c>
    </row>
    <row r="71" ht="15" customHeight="1">
      <c r="A71" s="37">
        <v>21203</v>
      </c>
      <c r="B71" s="57">
        <v>40297</v>
      </c>
      <c r="C71" s="40">
        <v>3478.5</v>
      </c>
      <c r="D71" s="95">
        <v>11.11</v>
      </c>
      <c r="E71" s="95">
        <v>248.136363636364</v>
      </c>
      <c r="F71" s="95">
        <v>342</v>
      </c>
      <c r="G71" s="95">
        <v>94.3601811320754</v>
      </c>
      <c r="H71" s="95">
        <v>248</v>
      </c>
      <c r="I71" s="95">
        <v>335.4</v>
      </c>
      <c r="J71" s="95">
        <v>94.18483870967729</v>
      </c>
      <c r="K71" s="95">
        <v>60</v>
      </c>
      <c r="L71" s="95">
        <v>38.5</v>
      </c>
      <c r="M71" s="95">
        <v>106.48</v>
      </c>
      <c r="N71" s="95">
        <v>40.5194905660378</v>
      </c>
      <c r="O71" s="95">
        <v>448.199811320755</v>
      </c>
      <c r="P71" s="95">
        <v>79.3158988679245</v>
      </c>
      <c r="Q71" s="95">
        <v>5.45172445283019</v>
      </c>
      <c r="R71" s="95">
        <v>462.624893459396</v>
      </c>
      <c r="S71" s="40">
        <v>4002.5</v>
      </c>
      <c r="T71" s="40">
        <v>122.7</v>
      </c>
      <c r="U71" s="40">
        <v>5.6</v>
      </c>
      <c r="V71" s="95">
        <v>63.5193</v>
      </c>
      <c r="W71" s="95">
        <v>39.4921</v>
      </c>
      <c r="X71" t="s" s="87">
        <v>44</v>
      </c>
      <c r="Y71" t="s" s="87">
        <v>44</v>
      </c>
      <c r="Z71" s="97">
        <v>87.90000000000001</v>
      </c>
      <c r="AA71" s="109" cm="1">
        <f t="array" ref="AA71">Z71/1.01325</f>
        <v>86.7505551443375</v>
      </c>
      <c r="AB71" s="110"/>
      <c r="AC71" s="110">
        <v>779.8</v>
      </c>
      <c r="AD71" s="110"/>
      <c r="AE71" s="110">
        <v>0.668</v>
      </c>
      <c r="AF71" s="110"/>
      <c r="AG71" s="110"/>
      <c r="AH71" s="111">
        <v>0.138</v>
      </c>
    </row>
    <row r="72" ht="15" customHeight="1">
      <c r="A72" s="37">
        <v>21203</v>
      </c>
      <c r="B72" s="57">
        <v>40752</v>
      </c>
      <c r="C72" t="s" s="47">
        <v>44</v>
      </c>
      <c r="D72" s="95">
        <v>12.7</v>
      </c>
      <c r="E72" s="95">
        <v>200</v>
      </c>
      <c r="F72" t="s" s="87">
        <v>44</v>
      </c>
      <c r="G72" s="95">
        <v>102.135190839696</v>
      </c>
      <c r="H72" s="104">
        <v>200</v>
      </c>
      <c r="I72" t="s" s="87">
        <v>44</v>
      </c>
      <c r="J72" s="95">
        <v>102.23</v>
      </c>
      <c r="K72" s="95">
        <v>66</v>
      </c>
      <c r="L72" t="s" s="87">
        <v>44</v>
      </c>
      <c r="M72" t="s" s="87">
        <v>44</v>
      </c>
      <c r="N72" s="95">
        <v>48.368743927828</v>
      </c>
      <c r="O72" s="95">
        <v>479.1</v>
      </c>
      <c r="P72" s="95">
        <v>80.90000000000001</v>
      </c>
      <c r="Q72" s="95">
        <v>0.7</v>
      </c>
      <c r="R72" s="95">
        <v>492.60291</v>
      </c>
      <c r="S72" s="40">
        <v>4109</v>
      </c>
      <c r="T72" s="40">
        <v>416</v>
      </c>
      <c r="U72" s="40">
        <v>0.7</v>
      </c>
      <c r="V72" s="95">
        <v>63.5</v>
      </c>
      <c r="W72" t="s" s="87">
        <v>44</v>
      </c>
      <c r="X72" t="s" s="87">
        <v>44</v>
      </c>
      <c r="Y72" t="s" s="87">
        <v>44</v>
      </c>
      <c r="Z72" s="97">
        <v>93</v>
      </c>
      <c r="AA72" s="109" cm="1">
        <f t="array" ref="AA72">Z72/1.01325</f>
        <v>91.7838638045892</v>
      </c>
      <c r="AB72" s="110"/>
      <c r="AC72" s="110">
        <v>776.7</v>
      </c>
      <c r="AD72" s="110"/>
      <c r="AE72" s="110">
        <v>0.67</v>
      </c>
      <c r="AF72" s="110"/>
      <c r="AG72" s="110"/>
      <c r="AH72" s="111">
        <v>0.131</v>
      </c>
    </row>
    <row r="73" ht="15" customHeight="1">
      <c r="A73" s="37">
        <v>21204</v>
      </c>
      <c r="B73" s="57">
        <v>39339</v>
      </c>
      <c r="C73" s="40">
        <v>3564.3</v>
      </c>
      <c r="D73" s="95">
        <v>6.35</v>
      </c>
      <c r="E73" s="95">
        <v>348</v>
      </c>
      <c r="F73" s="95">
        <v>457</v>
      </c>
      <c r="G73" s="95">
        <v>97.8348090692125</v>
      </c>
      <c r="H73" s="95">
        <v>348</v>
      </c>
      <c r="I73" s="95">
        <v>457.5</v>
      </c>
      <c r="J73" s="95">
        <v>98.08909677419371</v>
      </c>
      <c r="K73" s="95">
        <v>46.3</v>
      </c>
      <c r="L73" s="95">
        <v>22.6</v>
      </c>
      <c r="M73" s="95">
        <v>106.944</v>
      </c>
      <c r="N73" s="95">
        <v>21.6821050119332</v>
      </c>
      <c r="O73" s="95">
        <v>198.978926014320</v>
      </c>
      <c r="P73" s="95">
        <v>67.3855202863961</v>
      </c>
      <c r="Q73" s="95">
        <v>0.217591217183771</v>
      </c>
      <c r="R73" s="95">
        <v>212.011503228926</v>
      </c>
      <c r="S73" s="40">
        <v>1438.8</v>
      </c>
      <c r="T73" s="40">
        <v>106.8</v>
      </c>
      <c r="U73" s="40">
        <v>0.2</v>
      </c>
      <c r="V73" s="95">
        <v>33.7</v>
      </c>
      <c r="W73" s="95">
        <v>47.93</v>
      </c>
      <c r="X73" s="95">
        <v>57.7</v>
      </c>
      <c r="Y73" s="95">
        <v>58</v>
      </c>
      <c r="Z73" s="97">
        <v>95.09999999999999</v>
      </c>
      <c r="AA73" s="109" cm="1">
        <f t="array" ref="AA73">Z73/1.01325</f>
        <v>93.85640266469279</v>
      </c>
      <c r="AB73" s="110"/>
      <c r="AC73" s="110"/>
      <c r="AD73" s="110"/>
      <c r="AE73" s="110"/>
      <c r="AF73" s="110"/>
      <c r="AG73" s="110"/>
      <c r="AH73" s="108"/>
    </row>
    <row r="74" ht="15" customHeight="1">
      <c r="A74" s="37">
        <v>21204</v>
      </c>
      <c r="B74" s="57">
        <v>39340</v>
      </c>
      <c r="C74" s="40">
        <v>3564.3</v>
      </c>
      <c r="D74" s="95">
        <v>7.94</v>
      </c>
      <c r="E74" s="95">
        <v>345</v>
      </c>
      <c r="F74" s="95">
        <v>453</v>
      </c>
      <c r="G74" s="95">
        <v>98.6824538461539</v>
      </c>
      <c r="H74" s="95">
        <v>345</v>
      </c>
      <c r="I74" s="95">
        <v>453.3</v>
      </c>
      <c r="J74" s="95">
        <v>98.4548387096775</v>
      </c>
      <c r="K74" s="95">
        <v>52.7</v>
      </c>
      <c r="L74" s="95">
        <v>29.4</v>
      </c>
      <c r="M74" s="95">
        <v>107.05</v>
      </c>
      <c r="N74" s="95">
        <v>30.0958615384615</v>
      </c>
      <c r="O74" s="95">
        <v>305.839333333333</v>
      </c>
      <c r="P74" s="95">
        <v>94.6904743589743</v>
      </c>
      <c r="Q74" s="95">
        <v>0.603766743589744</v>
      </c>
      <c r="R74" s="95">
        <v>324.153074841103</v>
      </c>
      <c r="S74" s="40">
        <v>2291.4</v>
      </c>
      <c r="T74" s="40">
        <v>155</v>
      </c>
      <c r="U74" s="40">
        <v>0.6</v>
      </c>
      <c r="V74" s="95">
        <v>33.7</v>
      </c>
      <c r="W74" s="95">
        <v>47.93</v>
      </c>
      <c r="X74" s="95">
        <v>57.7</v>
      </c>
      <c r="Y74" s="95">
        <v>58</v>
      </c>
      <c r="Z74" s="97">
        <v>95.2</v>
      </c>
      <c r="AA74" s="109" cm="1">
        <f t="array" ref="AA74">Z74/1.01325</f>
        <v>93.9550949913644</v>
      </c>
      <c r="AB74" s="110"/>
      <c r="AC74" s="110"/>
      <c r="AD74" s="110"/>
      <c r="AE74" s="110"/>
      <c r="AF74" s="110"/>
      <c r="AG74" s="110"/>
      <c r="AH74" s="108"/>
    </row>
    <row r="75" ht="15" customHeight="1">
      <c r="A75" s="37">
        <v>21204</v>
      </c>
      <c r="B75" s="57">
        <v>39341</v>
      </c>
      <c r="C75" s="40">
        <v>3564.3</v>
      </c>
      <c r="D75" s="95">
        <v>11.11</v>
      </c>
      <c r="E75" s="95">
        <v>321</v>
      </c>
      <c r="F75" s="95">
        <v>438.5</v>
      </c>
      <c r="G75" s="95">
        <v>101.449032258065</v>
      </c>
      <c r="H75" s="95">
        <v>321</v>
      </c>
      <c r="I75" s="95">
        <v>438.9</v>
      </c>
      <c r="J75" s="95">
        <v>101.147741935484</v>
      </c>
      <c r="K75" s="95">
        <v>64.59999999999999</v>
      </c>
      <c r="L75" s="95">
        <v>43.3</v>
      </c>
      <c r="M75" s="95">
        <v>107.06</v>
      </c>
      <c r="N75" s="95">
        <v>44.0352768817204</v>
      </c>
      <c r="O75" s="95">
        <v>543.822741935484</v>
      </c>
      <c r="P75" s="95">
        <v>160.477688172043</v>
      </c>
      <c r="Q75" s="95">
        <v>1.75819811827957</v>
      </c>
      <c r="R75" s="95">
        <v>574.860885026075</v>
      </c>
      <c r="S75" s="40">
        <v>4419</v>
      </c>
      <c r="T75" s="40">
        <v>258.9</v>
      </c>
      <c r="U75" s="40">
        <v>1.8</v>
      </c>
      <c r="V75" s="95">
        <v>33.7</v>
      </c>
      <c r="W75" s="95">
        <v>47.93</v>
      </c>
      <c r="X75" s="95">
        <v>57.7</v>
      </c>
      <c r="Y75" s="95">
        <v>58</v>
      </c>
      <c r="Z75" s="97">
        <v>97.3</v>
      </c>
      <c r="AA75" s="109" cm="1">
        <f t="array" ref="AA75">Z75/1.01325</f>
        <v>96.027633851468</v>
      </c>
      <c r="AB75" s="110"/>
      <c r="AC75" s="110"/>
      <c r="AD75" s="110"/>
      <c r="AE75" s="110"/>
      <c r="AF75" s="110"/>
      <c r="AG75" s="110"/>
      <c r="AH75" s="108"/>
    </row>
    <row r="76" ht="15" customHeight="1">
      <c r="A76" s="37">
        <v>21204</v>
      </c>
      <c r="B76" s="57">
        <v>39342</v>
      </c>
      <c r="C76" s="40">
        <v>3564.3</v>
      </c>
      <c r="D76" s="95">
        <v>12.7</v>
      </c>
      <c r="E76" s="95">
        <v>300.857142857143</v>
      </c>
      <c r="F76" s="95">
        <v>427.9</v>
      </c>
      <c r="G76" s="95">
        <v>101.353141210375</v>
      </c>
      <c r="H76" s="95">
        <v>301</v>
      </c>
      <c r="I76" s="95">
        <v>428.3</v>
      </c>
      <c r="J76" s="95">
        <v>101.274838709678</v>
      </c>
      <c r="K76" s="95">
        <v>66.40000000000001</v>
      </c>
      <c r="L76" s="95">
        <v>46.5</v>
      </c>
      <c r="M76" s="95">
        <v>107.03</v>
      </c>
      <c r="N76" s="95">
        <v>48.5765043227666</v>
      </c>
      <c r="O76" s="95">
        <v>678.314812680115</v>
      </c>
      <c r="P76" s="95">
        <v>196.305677233429</v>
      </c>
      <c r="Q76" s="95">
        <v>2.43959135446686</v>
      </c>
      <c r="R76" s="95">
        <v>716.282770248415</v>
      </c>
      <c r="S76" s="40">
        <v>5688.2</v>
      </c>
      <c r="T76" s="40">
        <v>319.5</v>
      </c>
      <c r="U76" s="40">
        <v>2.6</v>
      </c>
      <c r="V76" s="95">
        <v>33.7</v>
      </c>
      <c r="W76" s="95">
        <v>47.93</v>
      </c>
      <c r="X76" s="95">
        <v>57.7</v>
      </c>
      <c r="Y76" s="95">
        <v>58</v>
      </c>
      <c r="Z76" s="97">
        <v>96.2</v>
      </c>
      <c r="AA76" s="109" cm="1">
        <f t="array" ref="AA76">Z76/1.01325</f>
        <v>94.9420182580804</v>
      </c>
      <c r="AB76" s="110"/>
      <c r="AC76" s="110"/>
      <c r="AD76" s="110"/>
      <c r="AE76" s="110"/>
      <c r="AF76" s="110"/>
      <c r="AG76" s="110"/>
      <c r="AH76" s="108"/>
    </row>
    <row r="77" ht="15" customHeight="1">
      <c r="A77" s="37">
        <v>21204</v>
      </c>
      <c r="B77" s="57">
        <v>39344</v>
      </c>
      <c r="C77" s="40">
        <v>3564.3</v>
      </c>
      <c r="D77" s="95">
        <v>14.29</v>
      </c>
      <c r="E77" s="95">
        <v>280</v>
      </c>
      <c r="F77" s="95">
        <v>414.8</v>
      </c>
      <c r="G77" s="95">
        <v>99.07050131233579</v>
      </c>
      <c r="H77" s="95">
        <v>280</v>
      </c>
      <c r="I77" s="95">
        <v>415</v>
      </c>
      <c r="J77" s="95">
        <v>99.07558064516139</v>
      </c>
      <c r="K77" s="95">
        <v>71.2</v>
      </c>
      <c r="L77" s="95">
        <v>51.9</v>
      </c>
      <c r="M77" s="95">
        <v>106.9</v>
      </c>
      <c r="N77" s="95">
        <v>51.9651312335958</v>
      </c>
      <c r="O77" s="95">
        <v>732.842178477690</v>
      </c>
      <c r="P77" s="95">
        <v>209.888057742782</v>
      </c>
      <c r="Q77" s="95">
        <v>3.2341249343832</v>
      </c>
      <c r="R77" s="95">
        <v>773.437762970079</v>
      </c>
      <c r="S77" s="40">
        <v>6345.3</v>
      </c>
      <c r="T77" s="40">
        <v>331.6</v>
      </c>
      <c r="U77" s="40">
        <v>3.3</v>
      </c>
      <c r="V77" s="95">
        <v>33.7</v>
      </c>
      <c r="W77" s="95">
        <v>47.93</v>
      </c>
      <c r="X77" s="95">
        <v>57.7</v>
      </c>
      <c r="Y77" s="95">
        <v>58</v>
      </c>
      <c r="Z77" s="97">
        <v>97</v>
      </c>
      <c r="AA77" s="109" cm="1">
        <f t="array" ref="AA77">Z77/1.01325</f>
        <v>95.73155687145319</v>
      </c>
      <c r="AB77" s="110"/>
      <c r="AC77" s="110"/>
      <c r="AD77" s="110"/>
      <c r="AE77" s="110"/>
      <c r="AF77" s="110"/>
      <c r="AG77" s="110"/>
      <c r="AH77" s="108"/>
    </row>
    <row r="78" ht="12.75" customHeight="1">
      <c r="A78" s="37">
        <v>21204</v>
      </c>
      <c r="B78" s="57">
        <v>39771</v>
      </c>
      <c r="C78" s="40">
        <v>3560</v>
      </c>
      <c r="D78" s="95">
        <v>7.94</v>
      </c>
      <c r="E78" s="95">
        <v>304.086956521739</v>
      </c>
      <c r="F78" s="95">
        <v>415.69</v>
      </c>
      <c r="G78" s="95">
        <v>91.1730564647979</v>
      </c>
      <c r="H78" s="96">
        <v>306</v>
      </c>
      <c r="I78" s="95">
        <v>415</v>
      </c>
      <c r="J78" s="96">
        <v>87.51682</v>
      </c>
      <c r="K78" s="95">
        <v>56</v>
      </c>
      <c r="L78" s="95">
        <v>28.1</v>
      </c>
      <c r="M78" s="95">
        <v>106.8</v>
      </c>
      <c r="N78" s="95">
        <v>28.2523434897804</v>
      </c>
      <c r="O78" s="95">
        <v>243.294650382014</v>
      </c>
      <c r="P78" s="95">
        <v>114.597570204391</v>
      </c>
      <c r="Q78" s="95">
        <v>1.18065847085541</v>
      </c>
      <c r="R78" s="95">
        <v>262.639900890986</v>
      </c>
      <c r="S78" s="40">
        <v>2209.7</v>
      </c>
      <c r="T78" s="40">
        <v>166.2</v>
      </c>
      <c r="U78" s="40">
        <v>1.1</v>
      </c>
      <c r="V78" s="95">
        <v>33.7</v>
      </c>
      <c r="W78" s="95">
        <v>43.04</v>
      </c>
      <c r="X78" s="95">
        <v>49.5</v>
      </c>
      <c r="Y78" s="95">
        <v>50.7</v>
      </c>
      <c r="Z78" s="97">
        <v>86.5</v>
      </c>
      <c r="AA78" s="109" cm="1">
        <f t="array" ref="AA78">Z78/1.01325</f>
        <v>85.36886257093509</v>
      </c>
      <c r="AB78" s="110"/>
      <c r="AC78" s="110"/>
      <c r="AD78" s="110"/>
      <c r="AE78" s="110"/>
      <c r="AF78" s="110"/>
      <c r="AG78" s="110"/>
      <c r="AH78" s="108"/>
    </row>
    <row r="79" ht="15" customHeight="1">
      <c r="A79" s="37">
        <v>21204</v>
      </c>
      <c r="B79" s="57">
        <v>39772</v>
      </c>
      <c r="C79" s="40">
        <v>3560</v>
      </c>
      <c r="D79" s="95">
        <v>9.529999999999999</v>
      </c>
      <c r="E79" s="95">
        <v>300</v>
      </c>
      <c r="F79" s="95">
        <v>410.66</v>
      </c>
      <c r="G79" s="95">
        <v>93.8804209167245</v>
      </c>
      <c r="H79" s="96">
        <v>300</v>
      </c>
      <c r="I79" s="95">
        <v>408.8</v>
      </c>
      <c r="J79" s="96">
        <v>92.28044</v>
      </c>
      <c r="K79" s="95">
        <v>64.5</v>
      </c>
      <c r="L79" s="95">
        <v>35.7</v>
      </c>
      <c r="M79" s="95">
        <v>106.87</v>
      </c>
      <c r="N79" s="95">
        <v>36.2264734569629</v>
      </c>
      <c r="O79" s="95">
        <v>338.211708164255</v>
      </c>
      <c r="P79" s="95">
        <v>159.005149671098</v>
      </c>
      <c r="Q79" s="95">
        <v>5.00399277816655</v>
      </c>
      <c r="R79" s="95">
        <v>360.397930536152</v>
      </c>
      <c r="S79" s="40">
        <v>3186</v>
      </c>
      <c r="T79" s="40">
        <v>232</v>
      </c>
      <c r="U79" s="40">
        <v>4.8</v>
      </c>
      <c r="V79" s="95">
        <v>33.7</v>
      </c>
      <c r="W79" s="95">
        <v>43.04</v>
      </c>
      <c r="X79" s="95">
        <v>49.5</v>
      </c>
      <c r="Y79" s="95">
        <v>50.7</v>
      </c>
      <c r="Z79" s="97">
        <v>87.59999999999999</v>
      </c>
      <c r="AA79" s="109" cm="1">
        <f t="array" ref="AA79">Z79/1.01325</f>
        <v>86.45447816432269</v>
      </c>
      <c r="AB79" s="110"/>
      <c r="AC79" s="110"/>
      <c r="AD79" s="110"/>
      <c r="AE79" s="110"/>
      <c r="AF79" s="110"/>
      <c r="AG79" s="110"/>
      <c r="AH79" s="108"/>
    </row>
    <row r="80" ht="15" customHeight="1">
      <c r="A80" s="37">
        <v>21204</v>
      </c>
      <c r="B80" s="57">
        <v>39773</v>
      </c>
      <c r="C80" s="40">
        <v>3560</v>
      </c>
      <c r="D80" s="95">
        <v>11.11</v>
      </c>
      <c r="E80" s="95">
        <v>288.5</v>
      </c>
      <c r="F80" s="95">
        <v>403.42</v>
      </c>
      <c r="G80" s="95">
        <v>93.62814450469961</v>
      </c>
      <c r="H80" s="96">
        <v>288</v>
      </c>
      <c r="I80" s="95">
        <v>400.8</v>
      </c>
      <c r="J80" s="96">
        <v>93.91002</v>
      </c>
      <c r="K80" s="95">
        <v>67.59999999999999</v>
      </c>
      <c r="L80" s="95">
        <v>41.9</v>
      </c>
      <c r="M80" s="95">
        <v>106.84</v>
      </c>
      <c r="N80" s="95">
        <v>42.1852621475054</v>
      </c>
      <c r="O80" s="95">
        <v>426.444826068026</v>
      </c>
      <c r="P80" s="95">
        <v>209.712763383948</v>
      </c>
      <c r="Q80" s="95">
        <v>6.88227002169197</v>
      </c>
      <c r="R80" s="95">
        <v>455.706638830109</v>
      </c>
      <c r="S80" s="40">
        <v>4245</v>
      </c>
      <c r="T80" s="40">
        <v>305</v>
      </c>
      <c r="U80" s="40">
        <v>6.8</v>
      </c>
      <c r="V80" s="95">
        <v>33.7</v>
      </c>
      <c r="W80" s="95">
        <v>43.04</v>
      </c>
      <c r="X80" s="95">
        <v>49.5</v>
      </c>
      <c r="Y80" s="95">
        <v>50.7</v>
      </c>
      <c r="Z80" s="97">
        <v>87.90000000000001</v>
      </c>
      <c r="AA80" s="109" cm="1">
        <f t="array" ref="AA80">Z80/1.01325</f>
        <v>86.7505551443375</v>
      </c>
      <c r="AB80" s="110"/>
      <c r="AC80" s="110"/>
      <c r="AD80" s="110"/>
      <c r="AE80" s="110"/>
      <c r="AF80" s="110"/>
      <c r="AG80" s="110"/>
      <c r="AH80" s="108"/>
    </row>
    <row r="81" ht="15" customHeight="1">
      <c r="A81" s="37">
        <v>21204</v>
      </c>
      <c r="B81" s="57">
        <v>39774</v>
      </c>
      <c r="C81" s="40">
        <v>3560</v>
      </c>
      <c r="D81" s="95">
        <v>12.7</v>
      </c>
      <c r="E81" s="95">
        <v>275.833333333333</v>
      </c>
      <c r="F81" s="95">
        <v>395.33</v>
      </c>
      <c r="G81" s="95">
        <v>96.7521427311214</v>
      </c>
      <c r="H81" s="96">
        <v>275</v>
      </c>
      <c r="I81" s="95">
        <v>392.4</v>
      </c>
      <c r="J81" s="96">
        <v>96.62806</v>
      </c>
      <c r="K81" s="95">
        <v>70</v>
      </c>
      <c r="L81" s="95">
        <v>46.4</v>
      </c>
      <c r="M81" s="95">
        <v>106.8</v>
      </c>
      <c r="N81" s="95">
        <v>46.5327984050811</v>
      </c>
      <c r="O81" s="95">
        <v>504.636044400847</v>
      </c>
      <c r="P81" s="95">
        <v>245.064252533522</v>
      </c>
      <c r="Q81" s="95">
        <v>8.10439147494705</v>
      </c>
      <c r="R81" s="95">
        <v>538.830612020749</v>
      </c>
      <c r="S81" s="40">
        <v>4973</v>
      </c>
      <c r="T81" s="40">
        <v>359.8</v>
      </c>
      <c r="U81" s="40">
        <v>8.1</v>
      </c>
      <c r="V81" s="95">
        <v>33.7</v>
      </c>
      <c r="W81" s="95">
        <v>43.04</v>
      </c>
      <c r="X81" s="95">
        <v>49.5</v>
      </c>
      <c r="Y81" s="95">
        <v>50.7</v>
      </c>
      <c r="Z81" s="97">
        <v>89.7</v>
      </c>
      <c r="AA81" s="109" cm="1">
        <f t="array" ref="AA81">Z81/1.01325</f>
        <v>88.5270170244264</v>
      </c>
      <c r="AB81" s="110"/>
      <c r="AC81" s="110"/>
      <c r="AD81" s="110"/>
      <c r="AE81" s="110"/>
      <c r="AF81" s="110"/>
      <c r="AG81" s="110"/>
      <c r="AH81" s="108"/>
    </row>
    <row r="82" ht="15" customHeight="1">
      <c r="A82" s="37">
        <v>21204</v>
      </c>
      <c r="B82" s="57">
        <v>39775</v>
      </c>
      <c r="C82" s="40">
        <v>3560</v>
      </c>
      <c r="D82" s="95">
        <v>14.29</v>
      </c>
      <c r="E82" s="95">
        <v>255.916666666667</v>
      </c>
      <c r="F82" s="95">
        <v>384.93</v>
      </c>
      <c r="G82" s="95">
        <v>101.048229016163</v>
      </c>
      <c r="H82" s="96">
        <v>255</v>
      </c>
      <c r="I82" s="95">
        <v>381.2</v>
      </c>
      <c r="J82" s="96">
        <v>101.13915</v>
      </c>
      <c r="K82" s="95">
        <v>70.5</v>
      </c>
      <c r="L82" s="95">
        <v>50.7</v>
      </c>
      <c r="M82" s="95">
        <v>106.74</v>
      </c>
      <c r="N82" s="95">
        <v>50.654549205903</v>
      </c>
      <c r="O82" s="95">
        <v>614.456890183220</v>
      </c>
      <c r="P82" s="95">
        <v>293.863527702038</v>
      </c>
      <c r="Q82" s="95">
        <v>10.2881499929726</v>
      </c>
      <c r="R82" s="95">
        <v>655.461140447647</v>
      </c>
      <c r="S82" s="40">
        <v>5889.07</v>
      </c>
      <c r="T82" s="40">
        <v>437.2</v>
      </c>
      <c r="U82" s="40">
        <v>10.3</v>
      </c>
      <c r="V82" s="95">
        <v>33.7</v>
      </c>
      <c r="W82" s="95">
        <v>43.04</v>
      </c>
      <c r="X82" s="95">
        <v>49.5</v>
      </c>
      <c r="Y82" s="95">
        <v>50.7</v>
      </c>
      <c r="Z82" s="97">
        <v>91.90000000000001</v>
      </c>
      <c r="AA82" s="109" cm="1">
        <f t="array" ref="AA82">Z82/1.01325</f>
        <v>90.6982482112016</v>
      </c>
      <c r="AB82" s="110"/>
      <c r="AC82" s="110"/>
      <c r="AD82" s="110"/>
      <c r="AE82" s="110"/>
      <c r="AF82" s="110"/>
      <c r="AG82" s="110"/>
      <c r="AH82" s="108"/>
    </row>
    <row r="83" ht="15" customHeight="1">
      <c r="A83" s="37">
        <v>21204</v>
      </c>
      <c r="B83" s="57">
        <v>40809</v>
      </c>
      <c r="C83" s="40">
        <v>3558</v>
      </c>
      <c r="D83" s="95">
        <v>12.7</v>
      </c>
      <c r="E83" s="95">
        <v>216</v>
      </c>
      <c r="F83" s="95">
        <v>309.4</v>
      </c>
      <c r="G83" s="95">
        <v>101.981021775544</v>
      </c>
      <c r="H83" s="104">
        <v>215</v>
      </c>
      <c r="I83" s="95">
        <v>311.8</v>
      </c>
      <c r="J83" s="96">
        <v>100.95</v>
      </c>
      <c r="K83" s="95">
        <v>67</v>
      </c>
      <c r="L83" s="95">
        <v>47.7</v>
      </c>
      <c r="M83" s="95">
        <v>103</v>
      </c>
      <c r="N83" s="95">
        <v>47.8853986599665</v>
      </c>
      <c r="O83" s="95">
        <v>483.7</v>
      </c>
      <c r="P83" s="95">
        <v>88.5</v>
      </c>
      <c r="Q83" s="95">
        <v>1.7</v>
      </c>
      <c r="R83" s="95">
        <v>499.62285</v>
      </c>
      <c r="S83" s="40">
        <v>4105</v>
      </c>
      <c r="T83" s="40">
        <v>132.6</v>
      </c>
      <c r="U83" s="40">
        <v>1.6</v>
      </c>
      <c r="V83" s="95">
        <v>33.7</v>
      </c>
      <c r="W83" t="s" s="87">
        <v>44</v>
      </c>
      <c r="X83" s="78">
        <v>58.8</v>
      </c>
      <c r="Y83" t="s" s="87">
        <v>44</v>
      </c>
      <c r="Z83" s="97">
        <v>93.5</v>
      </c>
      <c r="AA83" s="109" cm="1">
        <f t="array" ref="AA83">Z83/1.01325</f>
        <v>92.2773254379472</v>
      </c>
      <c r="AB83" s="110"/>
      <c r="AC83" s="110"/>
      <c r="AD83" s="110"/>
      <c r="AE83" s="110"/>
      <c r="AF83" s="110"/>
      <c r="AG83" s="110"/>
      <c r="AH83" s="108"/>
    </row>
    <row r="84" ht="15" customHeight="1">
      <c r="A84" s="37">
        <v>21303</v>
      </c>
      <c r="B84" s="57">
        <v>39228</v>
      </c>
      <c r="C84" s="40">
        <v>3640.5</v>
      </c>
      <c r="D84" s="95">
        <v>6.35</v>
      </c>
      <c r="E84" s="95">
        <v>270.760150902196</v>
      </c>
      <c r="F84" s="95">
        <v>403</v>
      </c>
      <c r="G84" s="95">
        <v>105.384229828851</v>
      </c>
      <c r="H84" s="95">
        <v>270.760150902196</v>
      </c>
      <c r="I84" s="95">
        <v>404.8</v>
      </c>
      <c r="J84" s="95">
        <v>105.950322580645</v>
      </c>
      <c r="K84" s="95">
        <v>47</v>
      </c>
      <c r="L84" t="s" s="87">
        <v>44</v>
      </c>
      <c r="M84" s="95">
        <v>104</v>
      </c>
      <c r="N84" s="95">
        <v>22.4450782396088</v>
      </c>
      <c r="O84" s="95">
        <v>182.449315403423</v>
      </c>
      <c r="P84" s="95">
        <v>49.431586797066</v>
      </c>
      <c r="Q84" s="95">
        <v>0.320459853300733</v>
      </c>
      <c r="R84" s="95">
        <v>191.757603657164</v>
      </c>
      <c r="S84" s="40">
        <v>1239.4</v>
      </c>
      <c r="T84" s="40">
        <v>80</v>
      </c>
      <c r="U84" s="40">
        <v>0.3</v>
      </c>
      <c r="V84" s="95">
        <v>63.3</v>
      </c>
      <c r="W84" s="95">
        <v>42.86</v>
      </c>
      <c r="X84" s="95">
        <v>50.8</v>
      </c>
      <c r="Y84" s="95">
        <v>51.2</v>
      </c>
      <c r="Z84" s="97">
        <v>102.4</v>
      </c>
      <c r="AA84" s="109" cm="1">
        <f t="array" ref="AA84">Z84/1.01325</f>
        <v>101.060942511720</v>
      </c>
      <c r="AB84" s="110"/>
      <c r="AC84" s="110">
        <v>784</v>
      </c>
      <c r="AD84" s="110"/>
      <c r="AE84" s="110">
        <v>0.679</v>
      </c>
      <c r="AF84" s="110"/>
      <c r="AG84" s="110"/>
      <c r="AH84" s="111">
        <v>0.212</v>
      </c>
    </row>
    <row r="85" ht="15" customHeight="1">
      <c r="A85" s="37">
        <v>21303</v>
      </c>
      <c r="B85" s="57">
        <v>39229</v>
      </c>
      <c r="C85" s="40">
        <v>3640.5</v>
      </c>
      <c r="D85" s="95">
        <v>9.529999999999999</v>
      </c>
      <c r="E85" s="95">
        <v>244.449332272837</v>
      </c>
      <c r="F85" s="95">
        <v>396.6</v>
      </c>
      <c r="G85" s="95">
        <v>108.491569767442</v>
      </c>
      <c r="H85" s="95">
        <v>244.449332272837</v>
      </c>
      <c r="I85" s="95">
        <v>397.3</v>
      </c>
      <c r="J85" s="95">
        <v>108.117096774194</v>
      </c>
      <c r="K85" s="95">
        <v>59</v>
      </c>
      <c r="L85" t="s" s="87">
        <v>44</v>
      </c>
      <c r="M85" s="95">
        <v>107.071</v>
      </c>
      <c r="N85" s="95">
        <v>36.2690465116279</v>
      </c>
      <c r="O85" s="95">
        <v>383.719622093023</v>
      </c>
      <c r="P85" s="95">
        <v>93.8466715116278</v>
      </c>
      <c r="Q85" s="95">
        <v>0.446545494186047</v>
      </c>
      <c r="R85" s="95">
        <v>401.391396884157</v>
      </c>
      <c r="S85" s="40">
        <v>2827.3</v>
      </c>
      <c r="T85" s="40">
        <v>151.9</v>
      </c>
      <c r="U85" s="40">
        <v>0.4</v>
      </c>
      <c r="V85" s="95">
        <v>63.3</v>
      </c>
      <c r="W85" s="95">
        <v>42.86</v>
      </c>
      <c r="X85" s="95">
        <v>50.8</v>
      </c>
      <c r="Y85" s="95">
        <v>51.2</v>
      </c>
      <c r="Z85" s="97">
        <v>97</v>
      </c>
      <c r="AA85" s="109" cm="1">
        <f t="array" ref="AA85">Z85/1.01325</f>
        <v>95.73155687145319</v>
      </c>
      <c r="AB85" s="110"/>
      <c r="AC85" s="110">
        <v>792</v>
      </c>
      <c r="AD85" s="110"/>
      <c r="AE85" s="110">
        <v>0.679</v>
      </c>
      <c r="AF85" s="110"/>
      <c r="AG85" s="110"/>
      <c r="AH85" s="111">
        <v>0.194</v>
      </c>
    </row>
    <row r="86" ht="15" customHeight="1">
      <c r="A86" s="37">
        <v>21303</v>
      </c>
      <c r="B86" s="57">
        <v>39230</v>
      </c>
      <c r="C86" s="40">
        <v>3640.5</v>
      </c>
      <c r="D86" s="95">
        <v>11.11</v>
      </c>
      <c r="E86" s="95">
        <v>235.658193333982</v>
      </c>
      <c r="F86" s="95">
        <v>390</v>
      </c>
      <c r="G86" s="95">
        <v>107.785975609756</v>
      </c>
      <c r="H86" s="95">
        <v>235.658193333982</v>
      </c>
      <c r="I86" s="95">
        <v>390.1</v>
      </c>
      <c r="J86" s="95">
        <v>108.501612903226</v>
      </c>
      <c r="K86" s="95">
        <v>62</v>
      </c>
      <c r="L86" t="s" s="87">
        <v>44</v>
      </c>
      <c r="M86" s="95">
        <v>105</v>
      </c>
      <c r="N86" s="95">
        <v>42.7188567073171</v>
      </c>
      <c r="O86" s="95">
        <v>498.603521341463</v>
      </c>
      <c r="P86" s="95">
        <v>117.470964939024</v>
      </c>
      <c r="Q86" s="95">
        <v>1.10661766768293</v>
      </c>
      <c r="R86" s="95">
        <v>520.724410657149</v>
      </c>
      <c r="S86" s="40">
        <v>3817.5</v>
      </c>
      <c r="T86" s="40">
        <v>185.2</v>
      </c>
      <c r="U86" s="40">
        <v>1.1</v>
      </c>
      <c r="V86" s="95">
        <v>63.3</v>
      </c>
      <c r="W86" s="95">
        <v>42.86</v>
      </c>
      <c r="X86" s="95">
        <v>50.8</v>
      </c>
      <c r="Y86" s="95">
        <v>51.2</v>
      </c>
      <c r="Z86" s="97">
        <v>103.7</v>
      </c>
      <c r="AA86" s="109" cm="1">
        <f t="array" ref="AA86">Z86/1.01325</f>
        <v>102.343942758451</v>
      </c>
      <c r="AB86" s="110"/>
      <c r="AC86" s="110">
        <v>792</v>
      </c>
      <c r="AD86" s="110"/>
      <c r="AE86" s="110">
        <v>0.679</v>
      </c>
      <c r="AF86" s="110"/>
      <c r="AG86" s="110"/>
      <c r="AH86" s="111">
        <v>0.187</v>
      </c>
    </row>
    <row r="87" ht="15" customHeight="1">
      <c r="A87" s="37">
        <v>21303</v>
      </c>
      <c r="B87" s="57">
        <v>39231</v>
      </c>
      <c r="C87" s="40">
        <v>3640.5</v>
      </c>
      <c r="D87" s="95">
        <v>12.7</v>
      </c>
      <c r="E87" s="95">
        <v>227.864811972328</v>
      </c>
      <c r="F87" s="95">
        <v>384.4</v>
      </c>
      <c r="G87" s="95">
        <v>110.165932203390</v>
      </c>
      <c r="H87" s="95">
        <v>227.864811972328</v>
      </c>
      <c r="I87" s="95">
        <v>381.3</v>
      </c>
      <c r="J87" s="95">
        <v>110.19</v>
      </c>
      <c r="K87" s="95">
        <v>64</v>
      </c>
      <c r="L87" t="s" s="87">
        <v>44</v>
      </c>
      <c r="M87" s="95">
        <v>104.9</v>
      </c>
      <c r="N87" s="95">
        <v>47.9864689265537</v>
      </c>
      <c r="O87" s="95">
        <v>612.205112994350</v>
      </c>
      <c r="P87" s="95">
        <v>139.526666666667</v>
      </c>
      <c r="Q87" s="95">
        <v>0.651676214689266</v>
      </c>
      <c r="R87" s="95">
        <v>638.478636003898</v>
      </c>
      <c r="S87" s="40">
        <v>4835</v>
      </c>
      <c r="T87" s="40">
        <v>222.6</v>
      </c>
      <c r="U87" s="40">
        <v>0.7</v>
      </c>
      <c r="V87" s="95">
        <v>63.3</v>
      </c>
      <c r="W87" s="95">
        <v>42.86</v>
      </c>
      <c r="X87" s="95">
        <v>50.8</v>
      </c>
      <c r="Y87" s="95">
        <v>51.2</v>
      </c>
      <c r="Z87" s="97">
        <v>103.8</v>
      </c>
      <c r="AA87" s="109" cm="1">
        <f t="array" ref="AA87">Z87/1.01325</f>
        <v>102.442635085122</v>
      </c>
      <c r="AB87" s="110"/>
      <c r="AC87" s="110">
        <v>792</v>
      </c>
      <c r="AD87" s="110"/>
      <c r="AE87" s="110">
        <v>0.679</v>
      </c>
      <c r="AF87" s="110"/>
      <c r="AG87" s="110"/>
      <c r="AH87" s="111">
        <v>0.18</v>
      </c>
    </row>
    <row r="88" ht="15" customHeight="1">
      <c r="A88" s="37">
        <v>21303</v>
      </c>
      <c r="B88" s="57">
        <v>39790</v>
      </c>
      <c r="C88" s="40">
        <v>3667</v>
      </c>
      <c r="D88" s="95">
        <v>7.94</v>
      </c>
      <c r="E88" s="95">
        <v>264</v>
      </c>
      <c r="F88" s="95">
        <v>362.8</v>
      </c>
      <c r="G88" s="95">
        <v>95.6012165898622</v>
      </c>
      <c r="H88" s="95">
        <v>263</v>
      </c>
      <c r="I88" s="95">
        <v>362.9</v>
      </c>
      <c r="J88" s="95">
        <v>95.3350322580645</v>
      </c>
      <c r="K88" s="95">
        <v>49</v>
      </c>
      <c r="L88" s="95">
        <v>26.1</v>
      </c>
      <c r="M88" s="95">
        <v>105.54</v>
      </c>
      <c r="N88" s="95">
        <v>26.4398732718894</v>
      </c>
      <c r="O88" s="95">
        <v>243.222903225806</v>
      </c>
      <c r="P88" s="95">
        <v>61.3346105990784</v>
      </c>
      <c r="Q88" s="95">
        <v>1.37158917050691</v>
      </c>
      <c r="R88" s="95">
        <v>255.245858492396</v>
      </c>
      <c r="S88" s="40">
        <v>1924.9</v>
      </c>
      <c r="T88" s="40">
        <v>101.5</v>
      </c>
      <c r="U88" s="40">
        <v>1.3</v>
      </c>
      <c r="V88" s="95">
        <v>63.3</v>
      </c>
      <c r="W88" s="95">
        <v>39.02</v>
      </c>
      <c r="X88" s="95">
        <v>48.3</v>
      </c>
      <c r="Y88" s="95">
        <v>50.9</v>
      </c>
      <c r="Z88" s="97">
        <v>93.09999999999999</v>
      </c>
      <c r="AA88" s="109" cm="1">
        <f t="array" ref="AA88">Z88/1.01325</f>
        <v>91.8825561312608</v>
      </c>
      <c r="AB88" s="110"/>
      <c r="AC88" s="110">
        <v>787</v>
      </c>
      <c r="AD88" s="110"/>
      <c r="AE88" s="110">
        <v>0.665</v>
      </c>
      <c r="AF88" s="110"/>
      <c r="AG88" s="110"/>
      <c r="AH88" s="111">
        <v>0.198</v>
      </c>
    </row>
    <row r="89" ht="15" customHeight="1">
      <c r="A89" s="37">
        <v>21303</v>
      </c>
      <c r="B89" s="57">
        <v>39791</v>
      </c>
      <c r="C89" s="40">
        <v>3667</v>
      </c>
      <c r="D89" s="95">
        <v>9.529999999999999</v>
      </c>
      <c r="E89" s="95">
        <v>256</v>
      </c>
      <c r="F89" s="95">
        <v>359.3</v>
      </c>
      <c r="G89" s="95">
        <v>96.597383211679</v>
      </c>
      <c r="H89" s="95">
        <v>256</v>
      </c>
      <c r="I89" s="95">
        <v>359.3</v>
      </c>
      <c r="J89" s="95">
        <v>97.32183870967739</v>
      </c>
      <c r="K89" s="95">
        <v>55</v>
      </c>
      <c r="L89" s="95">
        <v>33.4</v>
      </c>
      <c r="M89" s="95">
        <v>105.57</v>
      </c>
      <c r="N89" s="95">
        <v>33.6886532846715</v>
      </c>
      <c r="O89" s="95">
        <v>353.215583941606</v>
      </c>
      <c r="P89" s="95">
        <v>77.98768613138679</v>
      </c>
      <c r="Q89" s="95">
        <v>3.49639708029197</v>
      </c>
      <c r="R89" s="95">
        <v>366.859126643066</v>
      </c>
      <c r="S89" s="40">
        <v>2856.2</v>
      </c>
      <c r="T89" s="40">
        <v>123.1</v>
      </c>
      <c r="U89" s="40">
        <v>3.5</v>
      </c>
      <c r="V89" s="95">
        <v>63.3</v>
      </c>
      <c r="W89" s="95">
        <v>39.02</v>
      </c>
      <c r="X89" s="95">
        <v>48.3</v>
      </c>
      <c r="Y89" s="95">
        <v>50.9</v>
      </c>
      <c r="Z89" s="97">
        <v>92.8</v>
      </c>
      <c r="AA89" s="109" cm="1">
        <f t="array" ref="AA89">Z89/1.01325</f>
        <v>91.586479151246</v>
      </c>
      <c r="AB89" s="110"/>
      <c r="AC89" s="110">
        <v>787</v>
      </c>
      <c r="AD89" s="110"/>
      <c r="AE89" s="110">
        <v>0.665</v>
      </c>
      <c r="AF89" s="110"/>
      <c r="AG89" s="110"/>
      <c r="AH89" s="111">
        <v>0.174</v>
      </c>
    </row>
    <row r="90" ht="15" customHeight="1">
      <c r="A90" s="37">
        <v>21303</v>
      </c>
      <c r="B90" s="57">
        <v>39792</v>
      </c>
      <c r="C90" s="40">
        <v>3667</v>
      </c>
      <c r="D90" s="95">
        <v>11.11</v>
      </c>
      <c r="E90" s="95">
        <v>249.272727272727</v>
      </c>
      <c r="F90" s="95">
        <v>354</v>
      </c>
      <c r="G90" s="95">
        <v>98.95240206185591</v>
      </c>
      <c r="H90" s="95">
        <v>249</v>
      </c>
      <c r="I90" s="95">
        <v>354</v>
      </c>
      <c r="J90" s="95">
        <v>40.7398387096774</v>
      </c>
      <c r="K90" s="95">
        <v>60</v>
      </c>
      <c r="L90" s="95">
        <v>39.2</v>
      </c>
      <c r="M90" s="95">
        <v>105.56</v>
      </c>
      <c r="N90" s="95">
        <v>39.6668281786942</v>
      </c>
      <c r="O90" s="95">
        <v>451.476632302406</v>
      </c>
      <c r="P90" s="95">
        <v>98.20043814432999</v>
      </c>
      <c r="Q90" s="95">
        <v>3.89124776632302</v>
      </c>
      <c r="R90" s="95">
        <v>468.655780181615</v>
      </c>
      <c r="S90" s="40">
        <v>3766.5</v>
      </c>
      <c r="T90" s="40">
        <v>154</v>
      </c>
      <c r="U90" s="40">
        <v>3.9</v>
      </c>
      <c r="V90" s="95">
        <v>63.3</v>
      </c>
      <c r="W90" s="95">
        <v>39.02</v>
      </c>
      <c r="X90" s="95">
        <v>48.3</v>
      </c>
      <c r="Y90" s="95">
        <v>50.9</v>
      </c>
      <c r="Z90" s="97">
        <v>94.8</v>
      </c>
      <c r="AA90" s="109" cm="1">
        <f t="array" ref="AA90">Z90/1.01325</f>
        <v>93.56032568467801</v>
      </c>
      <c r="AB90" s="110"/>
      <c r="AC90" s="110">
        <v>787</v>
      </c>
      <c r="AD90" s="110"/>
      <c r="AE90" s="110">
        <v>0.665</v>
      </c>
      <c r="AF90" s="110"/>
      <c r="AG90" s="110"/>
      <c r="AH90" s="111">
        <v>0.171</v>
      </c>
    </row>
    <row r="91" ht="15" customHeight="1">
      <c r="A91" s="37">
        <v>21303</v>
      </c>
      <c r="B91" s="57">
        <v>39793</v>
      </c>
      <c r="C91" s="40">
        <v>3667</v>
      </c>
      <c r="D91" s="95">
        <v>12.7</v>
      </c>
      <c r="E91" s="95">
        <v>239.636363636364</v>
      </c>
      <c r="F91" s="95">
        <v>348.1</v>
      </c>
      <c r="G91" s="95">
        <v>100.101296178344</v>
      </c>
      <c r="H91" s="95">
        <v>239</v>
      </c>
      <c r="I91" s="95">
        <v>348.1</v>
      </c>
      <c r="J91" s="95">
        <v>45.0603548387096</v>
      </c>
      <c r="K91" s="95">
        <v>64</v>
      </c>
      <c r="L91" s="95">
        <v>43.7</v>
      </c>
      <c r="M91" s="95">
        <v>105.51</v>
      </c>
      <c r="N91" s="95">
        <v>44.0723917197452</v>
      </c>
      <c r="O91" s="95">
        <v>537.870111464968</v>
      </c>
      <c r="P91" s="95">
        <v>113.090654458599</v>
      </c>
      <c r="Q91" s="95">
        <v>5.18769347133758</v>
      </c>
      <c r="R91" s="95">
        <v>557.654854623248</v>
      </c>
      <c r="S91" s="40">
        <v>4529.6</v>
      </c>
      <c r="T91" s="40">
        <v>176.6</v>
      </c>
      <c r="U91" s="40">
        <v>5.3</v>
      </c>
      <c r="V91" s="95">
        <v>63.3</v>
      </c>
      <c r="W91" s="95">
        <v>39.02</v>
      </c>
      <c r="X91" s="95">
        <v>48.3</v>
      </c>
      <c r="Y91" s="95">
        <v>50.9</v>
      </c>
      <c r="Z91" s="97">
        <v>95.2</v>
      </c>
      <c r="AA91" s="109" cm="1">
        <f t="array" ref="AA91">Z91/1.01325</f>
        <v>93.9550949913644</v>
      </c>
      <c r="AB91" s="110"/>
      <c r="AC91" s="110">
        <v>787</v>
      </c>
      <c r="AD91" s="110"/>
      <c r="AE91" s="110">
        <v>0.665</v>
      </c>
      <c r="AF91" s="110"/>
      <c r="AG91" s="110"/>
      <c r="AH91" s="111">
        <v>0.165</v>
      </c>
    </row>
    <row r="92" ht="15" customHeight="1">
      <c r="A92" s="37">
        <v>21303</v>
      </c>
      <c r="B92" s="57">
        <v>39794</v>
      </c>
      <c r="C92" s="40">
        <v>3667</v>
      </c>
      <c r="D92" s="95">
        <v>14.29</v>
      </c>
      <c r="E92" s="95">
        <v>223.111111111111</v>
      </c>
      <c r="F92" s="95">
        <v>340</v>
      </c>
      <c r="G92" s="95">
        <v>102.226065573770</v>
      </c>
      <c r="H92" s="95">
        <v>221</v>
      </c>
      <c r="I92" s="95">
        <v>340</v>
      </c>
      <c r="J92" s="95">
        <v>47.8465483870968</v>
      </c>
      <c r="K92" s="95">
        <v>66</v>
      </c>
      <c r="L92" s="95">
        <v>47.8</v>
      </c>
      <c r="M92" s="95">
        <v>105.44</v>
      </c>
      <c r="N92" s="95">
        <v>48.1710901639345</v>
      </c>
      <c r="O92" s="95">
        <v>653.029487704918</v>
      </c>
      <c r="P92" s="95">
        <v>134.344487704918</v>
      </c>
      <c r="Q92" s="95">
        <v>6.5760143442623</v>
      </c>
      <c r="R92" s="95">
        <v>676.532914618852</v>
      </c>
      <c r="S92" s="40">
        <v>5557.8</v>
      </c>
      <c r="T92" s="40">
        <v>206</v>
      </c>
      <c r="U92" s="40">
        <v>6.6</v>
      </c>
      <c r="V92" s="95">
        <v>63.3</v>
      </c>
      <c r="W92" s="95">
        <v>39.02</v>
      </c>
      <c r="X92" s="95">
        <v>48.3</v>
      </c>
      <c r="Y92" s="95">
        <v>50.9</v>
      </c>
      <c r="Z92" s="97">
        <v>96</v>
      </c>
      <c r="AA92" s="109" cm="1">
        <f t="array" ref="AA92">Z92/1.01325</f>
        <v>94.7446336047372</v>
      </c>
      <c r="AB92" s="110"/>
      <c r="AC92" s="110">
        <v>787</v>
      </c>
      <c r="AD92" s="110"/>
      <c r="AE92" s="110">
        <v>0.665</v>
      </c>
      <c r="AF92" s="110"/>
      <c r="AG92" s="110"/>
      <c r="AH92" s="111">
        <v>0.162</v>
      </c>
    </row>
    <row r="93" ht="15" customHeight="1">
      <c r="A93" s="37">
        <v>21303</v>
      </c>
      <c r="B93" s="57">
        <v>39943</v>
      </c>
      <c r="C93" s="40">
        <v>3670</v>
      </c>
      <c r="D93" s="95">
        <v>7.94</v>
      </c>
      <c r="E93" s="95">
        <v>264</v>
      </c>
      <c r="F93" s="95">
        <v>359.46</v>
      </c>
      <c r="G93" s="95">
        <v>96.63233535005639</v>
      </c>
      <c r="H93" s="96">
        <v>264</v>
      </c>
      <c r="I93" s="95">
        <v>359.2</v>
      </c>
      <c r="J93" s="96">
        <v>96.284828</v>
      </c>
      <c r="K93" s="95">
        <v>51.1</v>
      </c>
      <c r="L93" s="95">
        <v>26.6</v>
      </c>
      <c r="M93" s="95">
        <v>105.2</v>
      </c>
      <c r="N93" s="95">
        <v>26.7212649203886</v>
      </c>
      <c r="O93" s="95">
        <v>239.136611418757</v>
      </c>
      <c r="P93" s="95">
        <v>74.17447142850941</v>
      </c>
      <c r="Q93" s="95">
        <v>2.52122067401393</v>
      </c>
      <c r="R93" s="95">
        <v>252.794652829420</v>
      </c>
      <c r="S93" s="40">
        <v>1868</v>
      </c>
      <c r="T93" s="40">
        <v>107</v>
      </c>
      <c r="U93" s="40">
        <v>2.5</v>
      </c>
      <c r="V93" s="95">
        <v>63.3</v>
      </c>
      <c r="W93" s="95">
        <v>37.19</v>
      </c>
      <c r="X93" s="95">
        <v>48</v>
      </c>
      <c r="Y93" s="95">
        <v>50.2</v>
      </c>
      <c r="Z93" s="97">
        <v>94.09999999999999</v>
      </c>
      <c r="AA93" s="109" cm="1">
        <f t="array" ref="AA93">Z93/1.01325</f>
        <v>92.8694793979768</v>
      </c>
      <c r="AB93" s="110"/>
      <c r="AC93" s="110"/>
      <c r="AD93" s="110"/>
      <c r="AE93" s="110"/>
      <c r="AF93" s="110"/>
      <c r="AG93" s="110"/>
      <c r="AH93" s="108"/>
    </row>
    <row r="94" ht="15" customHeight="1">
      <c r="A94" s="37">
        <v>21303</v>
      </c>
      <c r="B94" s="57">
        <v>39948</v>
      </c>
      <c r="C94" s="40">
        <v>3670</v>
      </c>
      <c r="D94" s="95">
        <v>9.529999999999999</v>
      </c>
      <c r="E94" s="95">
        <v>254.652631578947</v>
      </c>
      <c r="F94" s="95">
        <v>354.05</v>
      </c>
      <c r="G94" s="95">
        <v>97.73223105694809</v>
      </c>
      <c r="H94" s="96">
        <v>254</v>
      </c>
      <c r="I94" s="95">
        <v>352.1</v>
      </c>
      <c r="J94" s="96">
        <v>97.456688</v>
      </c>
      <c r="K94" s="95">
        <v>57.3</v>
      </c>
      <c r="L94" s="95">
        <v>34.3</v>
      </c>
      <c r="M94" s="95">
        <v>105.2</v>
      </c>
      <c r="N94" s="95">
        <v>34.3008600823549</v>
      </c>
      <c r="O94" s="95">
        <v>335.805809373357</v>
      </c>
      <c r="P94" s="95">
        <v>98.0999028389699</v>
      </c>
      <c r="Q94" s="95">
        <v>3.92086166672506</v>
      </c>
      <c r="R94" s="95">
        <v>354.703771521810</v>
      </c>
      <c r="S94" s="40">
        <v>2730</v>
      </c>
      <c r="T94" s="40">
        <v>141.4</v>
      </c>
      <c r="U94" s="40">
        <v>3.9</v>
      </c>
      <c r="V94" s="95">
        <v>63.3</v>
      </c>
      <c r="W94" s="95">
        <v>37.19</v>
      </c>
      <c r="X94" s="95">
        <v>48</v>
      </c>
      <c r="Y94" s="95">
        <v>50.2</v>
      </c>
      <c r="Z94" s="97">
        <v>95</v>
      </c>
      <c r="AA94" s="109" cm="1">
        <f t="array" ref="AA94">Z94/1.01325</f>
        <v>93.7577103380212</v>
      </c>
      <c r="AB94" s="110"/>
      <c r="AC94" s="110"/>
      <c r="AD94" s="110"/>
      <c r="AE94" s="110"/>
      <c r="AF94" s="110"/>
      <c r="AG94" s="110"/>
      <c r="AH94" s="108"/>
    </row>
    <row r="95" ht="15" customHeight="1">
      <c r="A95" s="37">
        <v>21303</v>
      </c>
      <c r="B95" s="57">
        <v>39952</v>
      </c>
      <c r="C95" s="40">
        <v>3670</v>
      </c>
      <c r="D95" s="95">
        <v>11.11</v>
      </c>
      <c r="E95" s="95">
        <v>243.915789473684</v>
      </c>
      <c r="F95" s="95">
        <v>345.57</v>
      </c>
      <c r="G95" s="95">
        <v>98.48931742101431</v>
      </c>
      <c r="H95" s="96">
        <v>242</v>
      </c>
      <c r="I95" s="95">
        <v>342.7</v>
      </c>
      <c r="J95" s="96">
        <v>97.216438</v>
      </c>
      <c r="K95" s="95">
        <v>62.7</v>
      </c>
      <c r="L95" s="95">
        <v>40.1</v>
      </c>
      <c r="M95" s="95">
        <v>105.14</v>
      </c>
      <c r="N95" s="95">
        <v>40.2131975394482</v>
      </c>
      <c r="O95" s="95">
        <v>432.325740324635</v>
      </c>
      <c r="P95" s="95">
        <v>117.408225770339</v>
      </c>
      <c r="Q95" s="95">
        <v>5.21637374046739</v>
      </c>
      <c r="R95" s="95">
        <v>454.744186997934</v>
      </c>
      <c r="S95" s="40">
        <v>3626</v>
      </c>
      <c r="T95" s="40">
        <v>169.1</v>
      </c>
      <c r="U95" s="40">
        <v>5.2</v>
      </c>
      <c r="V95" s="95">
        <v>63.3</v>
      </c>
      <c r="W95" s="95">
        <v>37.19</v>
      </c>
      <c r="X95" s="95">
        <v>48</v>
      </c>
      <c r="Y95" s="95">
        <v>50.2</v>
      </c>
      <c r="Z95" s="97">
        <v>91.40000000000001</v>
      </c>
      <c r="AA95" s="109" cm="1">
        <f t="array" ref="AA95">Z95/1.01325</f>
        <v>90.20478657784361</v>
      </c>
      <c r="AB95" s="110"/>
      <c r="AC95" s="110"/>
      <c r="AD95" s="110"/>
      <c r="AE95" s="110"/>
      <c r="AF95" s="110"/>
      <c r="AG95" s="110"/>
      <c r="AH95" s="108"/>
    </row>
    <row r="96" ht="15" customHeight="1">
      <c r="A96" s="37">
        <v>21303</v>
      </c>
      <c r="B96" s="57">
        <v>39956</v>
      </c>
      <c r="C96" s="40">
        <v>3670</v>
      </c>
      <c r="D96" s="95">
        <v>12.7</v>
      </c>
      <c r="E96" s="95">
        <v>229.894736842105</v>
      </c>
      <c r="F96" s="95">
        <v>336.3</v>
      </c>
      <c r="G96" s="95">
        <v>102.403780489126</v>
      </c>
      <c r="H96" s="96">
        <v>228</v>
      </c>
      <c r="I96" s="95">
        <v>333.1</v>
      </c>
      <c r="J96" s="96">
        <v>102.293098</v>
      </c>
      <c r="K96" s="95">
        <v>65.09999999999999</v>
      </c>
      <c r="L96" s="95">
        <v>44.8</v>
      </c>
      <c r="M96" s="95">
        <v>105.04</v>
      </c>
      <c r="N96" s="95">
        <v>44.7396393074865</v>
      </c>
      <c r="O96" s="95">
        <v>503.754977612522</v>
      </c>
      <c r="P96" s="95">
        <v>134.481725747772</v>
      </c>
      <c r="Q96" s="95">
        <v>6.65615587789662</v>
      </c>
      <c r="R96" s="95">
        <v>528.667649376888</v>
      </c>
      <c r="S96" s="40">
        <v>4152</v>
      </c>
      <c r="T96" s="40">
        <v>195.9</v>
      </c>
      <c r="U96" s="40">
        <v>6.7</v>
      </c>
      <c r="V96" s="95">
        <v>63.3</v>
      </c>
      <c r="W96" s="95">
        <v>37.19</v>
      </c>
      <c r="X96" s="95">
        <v>48</v>
      </c>
      <c r="Y96" s="95">
        <v>50.2</v>
      </c>
      <c r="Z96" s="97">
        <v>95.8</v>
      </c>
      <c r="AA96" s="109" cm="1">
        <f t="array" ref="AA96">Z96/1.01325</f>
        <v>94.547248951394</v>
      </c>
      <c r="AB96" s="110"/>
      <c r="AC96" s="110">
        <v>778.8</v>
      </c>
      <c r="AD96" s="110"/>
      <c r="AE96" s="110">
        <v>0.674</v>
      </c>
      <c r="AF96" s="110"/>
      <c r="AG96" s="110"/>
      <c r="AH96" s="111">
        <v>0.14</v>
      </c>
    </row>
    <row r="97" ht="15" customHeight="1">
      <c r="A97" s="37">
        <v>21303</v>
      </c>
      <c r="B97" s="57">
        <v>39960</v>
      </c>
      <c r="C97" s="40">
        <v>3670</v>
      </c>
      <c r="D97" s="95">
        <v>14.29</v>
      </c>
      <c r="E97" s="95">
        <v>212.495412844037</v>
      </c>
      <c r="F97" s="95">
        <v>323.77</v>
      </c>
      <c r="G97" s="95">
        <v>100.802196489064</v>
      </c>
      <c r="H97" s="96">
        <v>211</v>
      </c>
      <c r="I97" s="95">
        <v>319.3</v>
      </c>
      <c r="J97" s="96">
        <v>95.843582</v>
      </c>
      <c r="K97" s="95">
        <v>67.09999999999999</v>
      </c>
      <c r="L97" s="95">
        <v>48.1</v>
      </c>
      <c r="M97" s="95">
        <v>104.9</v>
      </c>
      <c r="N97" s="95">
        <v>48.1426239961757</v>
      </c>
      <c r="O97" s="95">
        <v>606.991562146244</v>
      </c>
      <c r="P97" s="95">
        <v>153.017733489062</v>
      </c>
      <c r="Q97" s="95">
        <v>9.16652648340215</v>
      </c>
      <c r="R97" s="95">
        <v>635.339612914902</v>
      </c>
      <c r="S97" s="40">
        <v>5207</v>
      </c>
      <c r="T97" s="40">
        <v>221.3</v>
      </c>
      <c r="U97" s="40">
        <v>9.199999999999999</v>
      </c>
      <c r="V97" s="95">
        <v>63.3</v>
      </c>
      <c r="W97" s="95">
        <v>37.19</v>
      </c>
      <c r="X97" s="95">
        <v>48</v>
      </c>
      <c r="Y97" s="95">
        <v>50.2</v>
      </c>
      <c r="Z97" s="97">
        <v>95</v>
      </c>
      <c r="AA97" s="109" cm="1">
        <f t="array" ref="AA97">Z97/1.01325</f>
        <v>93.7577103380212</v>
      </c>
      <c r="AB97" s="110"/>
      <c r="AC97" s="110"/>
      <c r="AD97" s="110"/>
      <c r="AE97" s="110"/>
      <c r="AF97" s="110"/>
      <c r="AG97" s="110"/>
      <c r="AH97" s="108"/>
    </row>
    <row r="98" ht="15" customHeight="1">
      <c r="A98" s="37">
        <v>21303</v>
      </c>
      <c r="B98" s="57">
        <v>40272</v>
      </c>
      <c r="C98" s="40">
        <v>3668.5</v>
      </c>
      <c r="D98" s="95">
        <v>9.529999999999999</v>
      </c>
      <c r="E98" s="95">
        <v>248</v>
      </c>
      <c r="F98" s="95">
        <v>340</v>
      </c>
      <c r="G98" s="95">
        <v>94.02052714708699</v>
      </c>
      <c r="H98" s="95">
        <v>248</v>
      </c>
      <c r="I98" s="95">
        <v>339.8</v>
      </c>
      <c r="J98" s="95">
        <v>94.1950967741935</v>
      </c>
      <c r="K98" s="95">
        <v>59</v>
      </c>
      <c r="L98" s="95">
        <v>32.4</v>
      </c>
      <c r="M98" s="95">
        <v>104.853</v>
      </c>
      <c r="N98" s="95">
        <v>33.5142857847976</v>
      </c>
      <c r="O98" s="95">
        <v>338.633267522211</v>
      </c>
      <c r="P98" s="95">
        <v>66.5890927936821</v>
      </c>
      <c r="Q98" s="95">
        <v>1.39121025666338</v>
      </c>
      <c r="R98" s="95">
        <v>350.547447433258</v>
      </c>
      <c r="S98" s="40">
        <v>2868.6</v>
      </c>
      <c r="T98" s="40">
        <v>105.2</v>
      </c>
      <c r="U98" s="40">
        <v>1.4</v>
      </c>
      <c r="V98" s="95">
        <v>72.5398</v>
      </c>
      <c r="W98" s="95">
        <v>36.75</v>
      </c>
      <c r="X98" s="78">
        <v>48.4</v>
      </c>
      <c r="Y98" s="95">
        <v>49.7</v>
      </c>
      <c r="Z98" s="97">
        <v>88.8</v>
      </c>
      <c r="AA98" s="109" cm="1">
        <f t="array" ref="AA98">Z98/1.01325</f>
        <v>87.63878608438191</v>
      </c>
      <c r="AB98" s="110"/>
      <c r="AC98" s="110">
        <v>782.53</v>
      </c>
      <c r="AD98" s="110"/>
      <c r="AE98" s="110">
        <v>0.66</v>
      </c>
      <c r="AF98" s="110"/>
      <c r="AG98" s="110"/>
      <c r="AH98" s="111">
        <v>0.154</v>
      </c>
    </row>
    <row r="99" ht="15" customHeight="1">
      <c r="A99" s="37">
        <v>21303</v>
      </c>
      <c r="B99" s="57">
        <v>40276</v>
      </c>
      <c r="C99" s="40">
        <v>3668.5</v>
      </c>
      <c r="D99" s="95">
        <v>11.11</v>
      </c>
      <c r="E99" s="95">
        <v>239</v>
      </c>
      <c r="F99" s="95">
        <v>334</v>
      </c>
      <c r="G99" s="95">
        <v>95.50515307582189</v>
      </c>
      <c r="H99" s="95">
        <v>239</v>
      </c>
      <c r="I99" s="95">
        <v>331.7</v>
      </c>
      <c r="J99" s="95">
        <v>95.8842258064514</v>
      </c>
      <c r="K99" s="95">
        <v>61</v>
      </c>
      <c r="L99" s="95">
        <v>38.6</v>
      </c>
      <c r="M99" s="95">
        <v>104.834</v>
      </c>
      <c r="N99" s="95">
        <v>39.285791130186</v>
      </c>
      <c r="O99" s="95">
        <v>432.742012398665</v>
      </c>
      <c r="P99" s="95">
        <v>77.9065965665236</v>
      </c>
      <c r="Q99" s="95">
        <v>2.01898373867429</v>
      </c>
      <c r="R99" s="95">
        <v>445.715479710730</v>
      </c>
      <c r="S99" s="40">
        <v>3773</v>
      </c>
      <c r="T99" s="40">
        <v>122.8</v>
      </c>
      <c r="U99" s="40">
        <v>2</v>
      </c>
      <c r="V99" s="95">
        <v>72.5398</v>
      </c>
      <c r="W99" s="95">
        <v>36.75</v>
      </c>
      <c r="X99" s="78">
        <v>48.4</v>
      </c>
      <c r="Y99" s="95">
        <v>49.7</v>
      </c>
      <c r="Z99" s="97">
        <v>88.09999999999999</v>
      </c>
      <c r="AA99" s="109" cm="1">
        <f t="array" ref="AA99">Z99/1.01325</f>
        <v>86.9479397976807</v>
      </c>
      <c r="AB99" s="110"/>
      <c r="AC99" s="110">
        <v>782.53</v>
      </c>
      <c r="AD99" s="110"/>
      <c r="AE99" s="110">
        <v>0.66</v>
      </c>
      <c r="AF99" s="110"/>
      <c r="AG99" s="110"/>
      <c r="AH99" s="111">
        <v>0.141</v>
      </c>
    </row>
    <row r="100" ht="15" customHeight="1">
      <c r="A100" s="37">
        <v>21303</v>
      </c>
      <c r="B100" s="57">
        <v>40281</v>
      </c>
      <c r="C100" s="40">
        <v>3668.5</v>
      </c>
      <c r="D100" s="95">
        <v>12.7</v>
      </c>
      <c r="E100" s="95">
        <v>223.888888888889</v>
      </c>
      <c r="F100" s="95">
        <v>326</v>
      </c>
      <c r="G100" s="95">
        <v>94.89208995037259</v>
      </c>
      <c r="H100" s="95">
        <v>223</v>
      </c>
      <c r="I100" s="95">
        <v>324</v>
      </c>
      <c r="J100" s="95">
        <v>95.5234838709676</v>
      </c>
      <c r="K100" s="95">
        <v>64</v>
      </c>
      <c r="L100" s="95">
        <v>42.7</v>
      </c>
      <c r="M100" s="95">
        <v>104.74</v>
      </c>
      <c r="N100" s="95">
        <v>42.9137897022333</v>
      </c>
      <c r="O100" s="95">
        <v>514.101736972705</v>
      </c>
      <c r="P100" s="95">
        <v>91.2414205955336</v>
      </c>
      <c r="Q100" s="95">
        <v>2.79907555831266</v>
      </c>
      <c r="R100" s="95">
        <v>528.931266895037</v>
      </c>
      <c r="S100" s="40">
        <v>4590.3</v>
      </c>
      <c r="T100" s="40">
        <v>142.1</v>
      </c>
      <c r="U100" s="40">
        <v>2.7</v>
      </c>
      <c r="V100" s="95">
        <v>72.5398</v>
      </c>
      <c r="W100" s="95">
        <v>36.75</v>
      </c>
      <c r="X100" s="78">
        <v>48.4</v>
      </c>
      <c r="Y100" s="95">
        <v>49.7</v>
      </c>
      <c r="Z100" s="97">
        <v>88.8</v>
      </c>
      <c r="AA100" s="109" cm="1">
        <f t="array" ref="AA100">Z100/1.01325</f>
        <v>87.63878608438191</v>
      </c>
      <c r="AB100" s="110"/>
      <c r="AC100" s="110">
        <v>782.53</v>
      </c>
      <c r="AD100" s="110"/>
      <c r="AE100" s="110">
        <v>0.66</v>
      </c>
      <c r="AF100" s="110"/>
      <c r="AG100" s="110"/>
      <c r="AH100" s="111">
        <v>0.139</v>
      </c>
    </row>
    <row r="101" ht="15" customHeight="1">
      <c r="A101" s="37">
        <v>21303</v>
      </c>
      <c r="B101" s="57">
        <v>40284</v>
      </c>
      <c r="C101" s="40">
        <v>3668.5</v>
      </c>
      <c r="D101" s="95">
        <v>14.29</v>
      </c>
      <c r="E101" s="95">
        <v>206</v>
      </c>
      <c r="F101" s="95">
        <v>318</v>
      </c>
      <c r="G101" s="95">
        <v>97.2705637149013</v>
      </c>
      <c r="H101" s="95">
        <v>205</v>
      </c>
      <c r="I101" s="95">
        <v>312.5</v>
      </c>
      <c r="J101" s="95">
        <v>95.5234838709676</v>
      </c>
      <c r="K101" s="95">
        <v>66</v>
      </c>
      <c r="L101" s="95">
        <v>46.9</v>
      </c>
      <c r="M101" s="95">
        <v>104.643</v>
      </c>
      <c r="N101" s="95">
        <v>46.7154325053995</v>
      </c>
      <c r="O101" s="95">
        <v>608.775917926566</v>
      </c>
      <c r="P101" s="95">
        <v>102.942936825054</v>
      </c>
      <c r="Q101" s="95">
        <v>3.22636792656587</v>
      </c>
      <c r="R101" s="95">
        <v>625.486782941199</v>
      </c>
      <c r="S101" s="40">
        <v>5452.4</v>
      </c>
      <c r="T101" s="40">
        <v>161.1</v>
      </c>
      <c r="U101" s="40">
        <v>3.3</v>
      </c>
      <c r="V101" s="95">
        <v>72.5398</v>
      </c>
      <c r="W101" s="95">
        <v>36.75</v>
      </c>
      <c r="X101" s="78">
        <v>48.4</v>
      </c>
      <c r="Y101" s="95">
        <v>49.7</v>
      </c>
      <c r="Z101" s="97">
        <v>88.90000000000001</v>
      </c>
      <c r="AA101" s="109" cm="1">
        <f t="array" ref="AA101">Z101/1.01325</f>
        <v>87.7374784110535</v>
      </c>
      <c r="AB101" s="110"/>
      <c r="AC101" s="110">
        <v>782.53</v>
      </c>
      <c r="AD101" s="110"/>
      <c r="AE101" s="110">
        <v>0.66</v>
      </c>
      <c r="AF101" s="110"/>
      <c r="AG101" s="110"/>
      <c r="AH101" s="111">
        <v>0.132</v>
      </c>
    </row>
    <row r="102" ht="15" customHeight="1">
      <c r="A102" s="37">
        <v>21303</v>
      </c>
      <c r="B102" s="57">
        <v>40728</v>
      </c>
      <c r="C102" t="s" s="47">
        <v>44</v>
      </c>
      <c r="D102" s="95">
        <v>12.7</v>
      </c>
      <c r="E102" s="95">
        <v>199</v>
      </c>
      <c r="F102" t="s" s="87">
        <v>44</v>
      </c>
      <c r="G102" s="95">
        <v>100.247184594032</v>
      </c>
      <c r="H102" s="104">
        <v>199</v>
      </c>
      <c r="I102" t="s" s="87">
        <v>44</v>
      </c>
      <c r="J102" s="96">
        <v>100.08</v>
      </c>
      <c r="K102" s="95">
        <v>64</v>
      </c>
      <c r="L102" t="s" s="87">
        <v>44</v>
      </c>
      <c r="M102" t="s" s="87">
        <v>44</v>
      </c>
      <c r="N102" s="95">
        <v>45.9423081193616</v>
      </c>
      <c r="O102" s="95">
        <v>476.1</v>
      </c>
      <c r="P102" s="95">
        <v>85.8</v>
      </c>
      <c r="Q102" s="95">
        <v>0.5</v>
      </c>
      <c r="R102" s="95">
        <v>491.08118</v>
      </c>
      <c r="S102" s="40">
        <v>4122</v>
      </c>
      <c r="T102" s="40">
        <v>132.9</v>
      </c>
      <c r="U102" s="40">
        <v>0.5</v>
      </c>
      <c r="V102" s="95">
        <v>72.5</v>
      </c>
      <c r="W102" t="s" s="87">
        <v>44</v>
      </c>
      <c r="X102" t="s" s="87">
        <v>44</v>
      </c>
      <c r="Y102" t="s" s="87">
        <v>44</v>
      </c>
      <c r="Z102" s="97">
        <v>91</v>
      </c>
      <c r="AA102" s="109" cm="1">
        <f t="array" ref="AA102">Z102/1.01325</f>
        <v>89.81001727115719</v>
      </c>
      <c r="AB102" s="110"/>
      <c r="AC102" s="110"/>
      <c r="AD102" s="110"/>
      <c r="AE102" s="110"/>
      <c r="AF102" s="110"/>
      <c r="AG102" s="110"/>
      <c r="AH102" s="108"/>
    </row>
    <row r="103" ht="15" customHeight="1">
      <c r="A103" s="37">
        <v>22102</v>
      </c>
      <c r="B103" s="57">
        <v>39243</v>
      </c>
      <c r="C103" s="40">
        <v>3548.5</v>
      </c>
      <c r="D103" s="95">
        <v>6.35</v>
      </c>
      <c r="E103" s="95">
        <v>187</v>
      </c>
      <c r="F103" s="95">
        <v>300.5</v>
      </c>
      <c r="G103" s="95">
        <v>103.757531768851</v>
      </c>
      <c r="H103" s="95">
        <v>187</v>
      </c>
      <c r="I103" s="95">
        <v>300</v>
      </c>
      <c r="J103" s="96">
        <v>107.89592</v>
      </c>
      <c r="K103" s="95">
        <v>26</v>
      </c>
      <c r="L103" t="s" s="87">
        <v>44</v>
      </c>
      <c r="M103" s="95">
        <v>104.52</v>
      </c>
      <c r="N103" s="95">
        <v>16.8177600281889</v>
      </c>
      <c r="O103" s="95">
        <v>100.3</v>
      </c>
      <c r="P103" s="95">
        <v>85.7</v>
      </c>
      <c r="Q103" s="95">
        <v>0.2</v>
      </c>
      <c r="R103" s="95">
        <v>117.8687</v>
      </c>
      <c r="S103" s="40">
        <v>755.63</v>
      </c>
      <c r="T103" s="40">
        <v>268.9</v>
      </c>
      <c r="U103" s="40">
        <v>0.3</v>
      </c>
      <c r="V103" s="119">
        <v>40.8</v>
      </c>
      <c r="W103" s="119">
        <v>37.12</v>
      </c>
      <c r="X103" s="119">
        <v>44.2</v>
      </c>
      <c r="Y103" s="119">
        <v>44.6</v>
      </c>
      <c r="Z103" s="97">
        <v>101.1</v>
      </c>
      <c r="AA103" s="109" cm="1">
        <f t="array" ref="AA103">Z103/1.01325</f>
        <v>99.77794226498889</v>
      </c>
      <c r="AB103" s="110"/>
      <c r="AC103" s="110"/>
      <c r="AD103" s="110"/>
      <c r="AE103" s="110"/>
      <c r="AF103" s="110"/>
      <c r="AG103" s="110"/>
      <c r="AH103" s="108"/>
    </row>
    <row r="104" ht="15" customHeight="1">
      <c r="A104" s="37">
        <v>22102</v>
      </c>
      <c r="B104" s="57">
        <v>39244</v>
      </c>
      <c r="C104" s="40">
        <v>3548.5</v>
      </c>
      <c r="D104" s="95">
        <v>9.529999999999999</v>
      </c>
      <c r="E104" s="95">
        <v>177</v>
      </c>
      <c r="F104" s="95">
        <v>261.1</v>
      </c>
      <c r="G104" s="95">
        <v>103.976586956199</v>
      </c>
      <c r="H104" s="95">
        <v>177</v>
      </c>
      <c r="I104" s="95">
        <v>259.6</v>
      </c>
      <c r="J104" s="96">
        <v>103.98386</v>
      </c>
      <c r="K104" s="95">
        <v>39</v>
      </c>
      <c r="L104" t="s" s="87">
        <v>44</v>
      </c>
      <c r="M104" s="95">
        <v>104.13</v>
      </c>
      <c r="N104" s="95">
        <v>27.4253377134373</v>
      </c>
      <c r="O104" s="95">
        <v>206.8</v>
      </c>
      <c r="P104" s="95">
        <v>115.2</v>
      </c>
      <c r="Q104" s="95">
        <v>2.2</v>
      </c>
      <c r="R104" s="95">
        <v>231.9734</v>
      </c>
      <c r="S104" s="40">
        <v>1328</v>
      </c>
      <c r="T104" s="40">
        <v>186.7</v>
      </c>
      <c r="U104" s="40">
        <v>2.2</v>
      </c>
      <c r="V104" s="119">
        <v>40.8</v>
      </c>
      <c r="W104" s="119">
        <v>37.12</v>
      </c>
      <c r="X104" s="119">
        <v>44.2</v>
      </c>
      <c r="Y104" s="119">
        <v>44.6</v>
      </c>
      <c r="Z104" s="97">
        <v>102</v>
      </c>
      <c r="AA104" s="109" cm="1">
        <f t="array" ref="AA104">Z104/1.01325</f>
        <v>100.666173205033</v>
      </c>
      <c r="AB104" s="110"/>
      <c r="AC104" s="110"/>
      <c r="AD104" s="110"/>
      <c r="AE104" s="110"/>
      <c r="AF104" s="110"/>
      <c r="AG104" s="110"/>
      <c r="AH104" s="108"/>
    </row>
    <row r="105" ht="15" customHeight="1">
      <c r="A105" s="37">
        <v>22102</v>
      </c>
      <c r="B105" s="57">
        <v>39245</v>
      </c>
      <c r="C105" s="40">
        <v>3548.5</v>
      </c>
      <c r="D105" s="95">
        <v>11.11</v>
      </c>
      <c r="E105" s="95">
        <v>157</v>
      </c>
      <c r="F105" s="95">
        <v>231.6</v>
      </c>
      <c r="G105" s="95">
        <v>102.539332060958</v>
      </c>
      <c r="H105" s="95">
        <v>157</v>
      </c>
      <c r="I105" s="95">
        <v>227.4</v>
      </c>
      <c r="J105" s="96">
        <v>102.51287</v>
      </c>
      <c r="K105" s="95">
        <v>43</v>
      </c>
      <c r="L105" t="s" s="87">
        <v>44</v>
      </c>
      <c r="M105" s="95">
        <v>103.74</v>
      </c>
      <c r="N105" s="95">
        <v>33.9776194992743</v>
      </c>
      <c r="O105" s="95">
        <v>251.5</v>
      </c>
      <c r="P105" s="95">
        <v>119.7</v>
      </c>
      <c r="Q105" s="95">
        <v>3.6</v>
      </c>
      <c r="R105" s="95">
        <v>278.92687</v>
      </c>
      <c r="S105" s="40">
        <v>1790</v>
      </c>
      <c r="T105" s="40">
        <v>191.7</v>
      </c>
      <c r="U105" s="40">
        <v>3.7</v>
      </c>
      <c r="V105" s="119">
        <v>40.8</v>
      </c>
      <c r="W105" s="119">
        <v>37.12</v>
      </c>
      <c r="X105" s="119">
        <v>44.2</v>
      </c>
      <c r="Y105" s="119">
        <v>44.6</v>
      </c>
      <c r="Z105" s="97">
        <v>100.8</v>
      </c>
      <c r="AA105" s="109" cm="1">
        <f t="array" ref="AA105">Z105/1.01325</f>
        <v>99.48186528497411</v>
      </c>
      <c r="AB105" s="110"/>
      <c r="AC105" s="110"/>
      <c r="AD105" s="110"/>
      <c r="AE105" s="110"/>
      <c r="AF105" s="110"/>
      <c r="AG105" s="110"/>
      <c r="AH105" s="108"/>
    </row>
    <row r="106" ht="15" customHeight="1">
      <c r="A106" s="37">
        <v>22102</v>
      </c>
      <c r="B106" s="57">
        <v>39246</v>
      </c>
      <c r="C106" s="40">
        <v>3548.5</v>
      </c>
      <c r="D106" s="95">
        <v>12.7</v>
      </c>
      <c r="E106" s="95">
        <v>140</v>
      </c>
      <c r="F106" s="95">
        <v>207.9</v>
      </c>
      <c r="G106" s="95">
        <v>103.268876310470</v>
      </c>
      <c r="H106" s="95">
        <v>140</v>
      </c>
      <c r="I106" s="95">
        <v>206.2</v>
      </c>
      <c r="J106" s="96">
        <v>103.34484</v>
      </c>
      <c r="K106" s="95">
        <v>46</v>
      </c>
      <c r="L106" t="s" s="87">
        <v>44</v>
      </c>
      <c r="M106" s="95">
        <v>103.37</v>
      </c>
      <c r="N106" s="95">
        <v>39.5079570902527</v>
      </c>
      <c r="O106" s="95">
        <v>275</v>
      </c>
      <c r="P106" s="95">
        <v>119.5</v>
      </c>
      <c r="Q106" s="95">
        <v>3.8</v>
      </c>
      <c r="R106" s="95">
        <v>301.16235</v>
      </c>
      <c r="S106" s="40">
        <v>2056</v>
      </c>
      <c r="T106" s="40">
        <v>191.1</v>
      </c>
      <c r="U106" s="40">
        <v>3.7</v>
      </c>
      <c r="V106" s="119">
        <v>40.8</v>
      </c>
      <c r="W106" s="119">
        <v>37.12</v>
      </c>
      <c r="X106" s="119">
        <v>44.2</v>
      </c>
      <c r="Y106" s="119">
        <v>44.6</v>
      </c>
      <c r="Z106" s="97">
        <v>101.5</v>
      </c>
      <c r="AA106" s="109" cm="1">
        <f t="array" ref="AA106">Z106/1.01325</f>
        <v>100.172711571675</v>
      </c>
      <c r="AB106" s="110"/>
      <c r="AC106" s="110"/>
      <c r="AD106" s="110"/>
      <c r="AE106" s="110"/>
      <c r="AF106" s="110"/>
      <c r="AG106" s="110"/>
      <c r="AH106" s="108"/>
    </row>
    <row r="107" ht="15" customHeight="1">
      <c r="A107" s="37">
        <v>22102</v>
      </c>
      <c r="B107" s="57">
        <v>39247</v>
      </c>
      <c r="C107" s="40">
        <v>3548.5</v>
      </c>
      <c r="D107" s="95">
        <v>14.29</v>
      </c>
      <c r="E107" s="95">
        <v>129</v>
      </c>
      <c r="F107" s="95">
        <v>192</v>
      </c>
      <c r="G107" s="95">
        <v>103.874342775053</v>
      </c>
      <c r="H107" s="95">
        <v>129</v>
      </c>
      <c r="I107" s="95">
        <v>192</v>
      </c>
      <c r="J107" s="96">
        <v>103.86777</v>
      </c>
      <c r="K107" s="95">
        <v>47</v>
      </c>
      <c r="L107" t="s" s="87">
        <v>44</v>
      </c>
      <c r="M107" s="95">
        <v>103.09</v>
      </c>
      <c r="N107" s="95">
        <v>42.8893639103014</v>
      </c>
      <c r="O107" s="95">
        <v>275.9</v>
      </c>
      <c r="P107" s="95">
        <v>112.2</v>
      </c>
      <c r="Q107" s="95">
        <v>3.8</v>
      </c>
      <c r="R107" s="95">
        <v>301.36198</v>
      </c>
      <c r="S107" s="40">
        <v>2119</v>
      </c>
      <c r="T107" s="40">
        <v>179.3</v>
      </c>
      <c r="U107" s="40">
        <v>3.9</v>
      </c>
      <c r="V107" s="119">
        <v>40.8</v>
      </c>
      <c r="W107" s="119">
        <v>37.12</v>
      </c>
      <c r="X107" s="119">
        <v>44.2</v>
      </c>
      <c r="Y107" s="119">
        <v>44.6</v>
      </c>
      <c r="Z107" s="97">
        <v>102.2</v>
      </c>
      <c r="AA107" s="109" cm="1">
        <f t="array" ref="AA107">Z107/1.01325</f>
        <v>100.863557858377</v>
      </c>
      <c r="AB107" s="110"/>
      <c r="AC107" s="110"/>
      <c r="AD107" s="110"/>
      <c r="AE107" s="110"/>
      <c r="AF107" s="110"/>
      <c r="AG107" s="110"/>
      <c r="AH107" s="108"/>
    </row>
    <row r="108" ht="15" customHeight="1">
      <c r="A108" s="37">
        <v>22102</v>
      </c>
      <c r="B108" s="57">
        <v>39479</v>
      </c>
      <c r="C108" s="40">
        <v>3548.5</v>
      </c>
      <c r="D108" s="95">
        <v>7.94</v>
      </c>
      <c r="E108" s="95">
        <v>143.9</v>
      </c>
      <c r="F108" s="95">
        <v>226.79</v>
      </c>
      <c r="G108" s="95">
        <v>102.048439633663</v>
      </c>
      <c r="H108" s="96">
        <v>143</v>
      </c>
      <c r="I108" s="95">
        <v>226.8</v>
      </c>
      <c r="J108" s="96">
        <v>101.13834</v>
      </c>
      <c r="K108" s="95">
        <v>27.8</v>
      </c>
      <c r="L108" s="95"/>
      <c r="M108" s="95">
        <v>103.3</v>
      </c>
      <c r="N108" s="95">
        <v>21.5582056633663</v>
      </c>
      <c r="O108" s="95">
        <v>119.8</v>
      </c>
      <c r="P108" s="95">
        <v>51.8</v>
      </c>
      <c r="Q108" s="95">
        <v>0.4</v>
      </c>
      <c r="R108" s="95">
        <v>132.06664</v>
      </c>
      <c r="S108" s="40">
        <v>765</v>
      </c>
      <c r="T108" s="40">
        <v>70.3</v>
      </c>
      <c r="U108" s="40">
        <v>0.3</v>
      </c>
      <c r="V108" s="119">
        <v>40.8</v>
      </c>
      <c r="W108" s="119">
        <v>33.22</v>
      </c>
      <c r="X108" t="s" s="87">
        <v>44</v>
      </c>
      <c r="Y108" t="s" s="87">
        <v>44</v>
      </c>
      <c r="Z108" s="97">
        <v>98</v>
      </c>
      <c r="AA108" s="109" cm="1">
        <f t="array" ref="AA108">Z108/1.01325</f>
        <v>96.7184801381693</v>
      </c>
      <c r="AB108" s="110"/>
      <c r="AC108" s="110"/>
      <c r="AD108" s="110"/>
      <c r="AE108" s="110"/>
      <c r="AF108" s="110"/>
      <c r="AG108" s="110"/>
      <c r="AH108" s="108"/>
    </row>
    <row r="109" ht="15" customHeight="1">
      <c r="A109" s="37">
        <v>22102</v>
      </c>
      <c r="B109" s="57">
        <v>39479</v>
      </c>
      <c r="C109" s="40">
        <v>3548.5</v>
      </c>
      <c r="D109" s="95">
        <v>9.529999999999999</v>
      </c>
      <c r="E109" s="95">
        <v>138.5</v>
      </c>
      <c r="F109" s="95">
        <v>210.11</v>
      </c>
      <c r="G109" s="95">
        <v>100.592331639201</v>
      </c>
      <c r="H109" s="96">
        <v>138</v>
      </c>
      <c r="I109" s="95">
        <v>210</v>
      </c>
      <c r="J109" s="96">
        <v>100.40366</v>
      </c>
      <c r="K109" s="95">
        <v>30.5</v>
      </c>
      <c r="L109" s="95">
        <v>26.2</v>
      </c>
      <c r="M109" s="95">
        <v>103.17</v>
      </c>
      <c r="N109" s="95">
        <v>27.5820296270598</v>
      </c>
      <c r="O109" s="95">
        <v>168.4</v>
      </c>
      <c r="P109" s="95">
        <v>70.59999999999999</v>
      </c>
      <c r="Q109" s="95">
        <v>1</v>
      </c>
      <c r="R109" s="95">
        <v>185.11908</v>
      </c>
      <c r="S109" s="40">
        <v>1180</v>
      </c>
      <c r="T109" s="40">
        <v>94.8</v>
      </c>
      <c r="U109" s="40">
        <v>1</v>
      </c>
      <c r="V109" s="119">
        <v>40.8</v>
      </c>
      <c r="W109" s="119">
        <v>33.22</v>
      </c>
      <c r="X109" t="s" s="87">
        <v>44</v>
      </c>
      <c r="Y109" t="s" s="87">
        <v>44</v>
      </c>
      <c r="Z109" s="97">
        <v>98</v>
      </c>
      <c r="AA109" s="109" cm="1">
        <f t="array" ref="AA109">Z109/1.01325</f>
        <v>96.7184801381693</v>
      </c>
      <c r="AB109" s="110"/>
      <c r="AC109" s="110"/>
      <c r="AD109" s="110"/>
      <c r="AE109" s="110"/>
      <c r="AF109" s="110"/>
      <c r="AG109" s="110"/>
      <c r="AH109" s="108"/>
    </row>
    <row r="110" ht="15" customHeight="1">
      <c r="A110" s="37">
        <v>22102</v>
      </c>
      <c r="B110" s="57">
        <v>39480</v>
      </c>
      <c r="C110" s="40">
        <v>3548.5</v>
      </c>
      <c r="D110" s="95">
        <v>11.11</v>
      </c>
      <c r="E110" s="95">
        <v>130</v>
      </c>
      <c r="F110" s="95">
        <v>194.68</v>
      </c>
      <c r="G110" s="95">
        <v>101.261188731989</v>
      </c>
      <c r="H110" s="96">
        <v>128</v>
      </c>
      <c r="I110" s="95">
        <v>194.6</v>
      </c>
      <c r="J110" s="96">
        <v>101.40632</v>
      </c>
      <c r="K110" s="95">
        <v>36</v>
      </c>
      <c r="L110" s="95">
        <v>34.3</v>
      </c>
      <c r="M110" s="95">
        <v>102.97</v>
      </c>
      <c r="N110" s="95">
        <v>34.2800630403459</v>
      </c>
      <c r="O110" s="95">
        <v>200.4</v>
      </c>
      <c r="P110" s="95">
        <v>79.40000000000001</v>
      </c>
      <c r="Q110" s="95">
        <v>1.2</v>
      </c>
      <c r="R110" s="95">
        <v>219.20312</v>
      </c>
      <c r="S110" s="40">
        <v>1499</v>
      </c>
      <c r="T110" s="40">
        <v>106</v>
      </c>
      <c r="U110" s="40">
        <v>1.2</v>
      </c>
      <c r="V110" s="119">
        <v>40.8</v>
      </c>
      <c r="W110" s="119">
        <v>33.22</v>
      </c>
      <c r="X110" t="s" s="87">
        <v>44</v>
      </c>
      <c r="Y110" t="s" s="87">
        <v>44</v>
      </c>
      <c r="Z110" s="97">
        <v>98.5</v>
      </c>
      <c r="AA110" s="109" cm="1">
        <f t="array" ref="AA110">Z110/1.01325</f>
        <v>97.21194177152729</v>
      </c>
      <c r="AB110" s="110"/>
      <c r="AC110" s="110"/>
      <c r="AD110" s="110"/>
      <c r="AE110" s="110"/>
      <c r="AF110" s="110"/>
      <c r="AG110" s="110"/>
      <c r="AH110" s="108"/>
    </row>
    <row r="111" ht="15" customHeight="1">
      <c r="A111" s="37">
        <v>22102</v>
      </c>
      <c r="B111" s="57">
        <v>39481</v>
      </c>
      <c r="C111" s="40">
        <v>3548.5</v>
      </c>
      <c r="D111" s="95">
        <v>12.7</v>
      </c>
      <c r="E111" s="95">
        <v>120.1</v>
      </c>
      <c r="F111" s="95">
        <v>181.13</v>
      </c>
      <c r="G111" s="95">
        <v>101.315476296035</v>
      </c>
      <c r="H111" s="96">
        <v>119</v>
      </c>
      <c r="I111" s="95">
        <v>181.1</v>
      </c>
      <c r="J111" s="96">
        <v>100.94046</v>
      </c>
      <c r="K111" s="95">
        <v>39.3</v>
      </c>
      <c r="L111" s="95">
        <v>38.3</v>
      </c>
      <c r="M111" s="95">
        <v>102.73</v>
      </c>
      <c r="N111" s="95">
        <v>38.8396078257791</v>
      </c>
      <c r="O111" s="95">
        <v>221.5</v>
      </c>
      <c r="P111" s="95">
        <v>82.59999999999999</v>
      </c>
      <c r="Q111" s="95">
        <v>1.8</v>
      </c>
      <c r="R111" s="95">
        <v>241.06148</v>
      </c>
      <c r="S111" s="40">
        <v>1736.18</v>
      </c>
      <c r="T111" s="40">
        <v>109.3</v>
      </c>
      <c r="U111" s="40">
        <v>1.8</v>
      </c>
      <c r="V111" s="119">
        <v>40.8</v>
      </c>
      <c r="W111" s="119">
        <v>33.22</v>
      </c>
      <c r="X111" t="s" s="87">
        <v>44</v>
      </c>
      <c r="Y111" t="s" s="87">
        <v>44</v>
      </c>
      <c r="Z111" s="97">
        <v>98.3</v>
      </c>
      <c r="AA111" s="109" cm="1">
        <f t="array" ref="AA111">Z111/1.01325</f>
        <v>97.0145571181841</v>
      </c>
      <c r="AB111" s="110"/>
      <c r="AC111" s="110"/>
      <c r="AD111" s="110"/>
      <c r="AE111" s="110"/>
      <c r="AF111" s="110"/>
      <c r="AG111" s="110"/>
      <c r="AH111" s="108"/>
    </row>
    <row r="112" ht="15" customHeight="1">
      <c r="A112" s="37">
        <v>22102</v>
      </c>
      <c r="B112" s="57">
        <v>39482</v>
      </c>
      <c r="C112" s="40">
        <v>3548.5</v>
      </c>
      <c r="D112" s="95">
        <v>14.29</v>
      </c>
      <c r="E112" s="95">
        <v>111.1</v>
      </c>
      <c r="F112" s="95">
        <v>169.25</v>
      </c>
      <c r="G112" s="95">
        <v>100.398554228045</v>
      </c>
      <c r="H112" s="96">
        <v>109</v>
      </c>
      <c r="I112" s="95">
        <v>169.2</v>
      </c>
      <c r="J112" s="96">
        <v>95.35319</v>
      </c>
      <c r="K112" s="95">
        <v>43</v>
      </c>
      <c r="L112" s="95">
        <v>41.6</v>
      </c>
      <c r="M112" s="95">
        <v>102.5</v>
      </c>
      <c r="N112" s="95">
        <v>42.0757780453258</v>
      </c>
      <c r="O112" s="95">
        <v>228.5</v>
      </c>
      <c r="P112" s="95">
        <v>84</v>
      </c>
      <c r="Q112" s="95">
        <v>2</v>
      </c>
      <c r="R112" s="95">
        <v>248.3932</v>
      </c>
      <c r="S112" s="40">
        <v>1869.95</v>
      </c>
      <c r="T112" s="40">
        <v>110.5</v>
      </c>
      <c r="U112" s="40">
        <v>2</v>
      </c>
      <c r="V112" s="119">
        <v>40.8</v>
      </c>
      <c r="W112" s="119">
        <v>33.22</v>
      </c>
      <c r="X112" t="s" s="87">
        <v>44</v>
      </c>
      <c r="Y112" t="s" s="87">
        <v>44</v>
      </c>
      <c r="Z112" s="97">
        <v>98.2</v>
      </c>
      <c r="AA112" s="109" cm="1">
        <f t="array" ref="AA112">Z112/1.01325</f>
        <v>96.9158647915125</v>
      </c>
      <c r="AB112" s="110"/>
      <c r="AC112" s="110"/>
      <c r="AD112" s="110"/>
      <c r="AE112" s="110"/>
      <c r="AF112" s="110"/>
      <c r="AG112" s="110"/>
      <c r="AH112" s="108"/>
    </row>
    <row r="113" ht="15" customHeight="1">
      <c r="A113" s="37">
        <v>22103</v>
      </c>
      <c r="B113" s="57">
        <v>38270</v>
      </c>
      <c r="C113" s="40">
        <v>3952</v>
      </c>
      <c r="D113" s="95">
        <v>7.94</v>
      </c>
      <c r="E113" s="95">
        <v>289.485525</v>
      </c>
      <c r="F113" s="95">
        <v>406.1106</v>
      </c>
      <c r="G113" t="s" s="87">
        <v>44</v>
      </c>
      <c r="H113" s="95">
        <v>289.485525</v>
      </c>
      <c r="I113" s="95">
        <v>406.1106</v>
      </c>
      <c r="J113" t="s" s="87">
        <v>44</v>
      </c>
      <c r="K113" s="95">
        <v>39.5</v>
      </c>
      <c r="L113" t="s" s="87">
        <v>44</v>
      </c>
      <c r="M113" s="95">
        <v>107.4</v>
      </c>
      <c r="N113" t="s" s="87">
        <v>44</v>
      </c>
      <c r="O113" s="95">
        <v>202.1</v>
      </c>
      <c r="P113" s="95">
        <v>79.8</v>
      </c>
      <c r="Q113" s="95">
        <v>0</v>
      </c>
      <c r="R113" s="95">
        <v>215.5463</v>
      </c>
      <c r="S113" t="s" s="47">
        <v>44</v>
      </c>
      <c r="T113" t="s" s="47">
        <v>44</v>
      </c>
      <c r="U113" t="s" s="47">
        <v>44</v>
      </c>
      <c r="V113" s="95">
        <v>45.2</v>
      </c>
      <c r="W113" s="95">
        <v>46.2</v>
      </c>
      <c r="X113" s="95">
        <v>55.9</v>
      </c>
      <c r="Y113" s="95">
        <v>50.5</v>
      </c>
      <c r="Z113" s="97"/>
      <c r="AA113" s="109" cm="1">
        <f t="array" ref="AA113">Z113/1.01325</f>
        <v>0</v>
      </c>
      <c r="AB113" s="110"/>
      <c r="AC113" s="110"/>
      <c r="AD113" s="110"/>
      <c r="AE113" s="110"/>
      <c r="AF113" s="110"/>
      <c r="AG113" s="110"/>
      <c r="AH113" s="108"/>
    </row>
    <row r="114" ht="15" customHeight="1">
      <c r="A114" s="37">
        <v>22103</v>
      </c>
      <c r="B114" s="57">
        <v>38271</v>
      </c>
      <c r="C114" s="40">
        <v>3952</v>
      </c>
      <c r="D114" s="95">
        <v>11.11</v>
      </c>
      <c r="E114" s="95">
        <v>275.705325</v>
      </c>
      <c r="F114" s="95">
        <v>397.5993</v>
      </c>
      <c r="G114" t="s" s="87">
        <v>44</v>
      </c>
      <c r="H114" s="95">
        <v>275.705325</v>
      </c>
      <c r="I114" s="95">
        <v>397.5993</v>
      </c>
      <c r="J114" t="s" s="87">
        <v>44</v>
      </c>
      <c r="K114" s="95">
        <v>56.5</v>
      </c>
      <c r="L114" t="s" s="87">
        <v>44</v>
      </c>
      <c r="M114" s="95">
        <v>107.2</v>
      </c>
      <c r="N114" t="s" s="87">
        <v>44</v>
      </c>
      <c r="O114" s="95">
        <v>378.5</v>
      </c>
      <c r="P114" s="95">
        <v>168.9</v>
      </c>
      <c r="Q114" s="95">
        <v>0.3</v>
      </c>
      <c r="R114" s="95">
        <v>405.8621</v>
      </c>
      <c r="S114" t="s" s="47">
        <v>44</v>
      </c>
      <c r="T114" t="s" s="47">
        <v>44</v>
      </c>
      <c r="U114" t="s" s="47">
        <v>44</v>
      </c>
      <c r="V114" s="95">
        <v>45.2</v>
      </c>
      <c r="W114" s="95">
        <v>46.2</v>
      </c>
      <c r="X114" s="95">
        <v>55.9</v>
      </c>
      <c r="Y114" s="95">
        <v>50.5</v>
      </c>
      <c r="Z114" s="97"/>
      <c r="AA114" s="109" cm="1">
        <f t="array" ref="AA114">Z114/1.01325</f>
        <v>0</v>
      </c>
      <c r="AB114" s="110"/>
      <c r="AC114" s="110"/>
      <c r="AD114" s="110"/>
      <c r="AE114" s="110"/>
      <c r="AF114" s="110"/>
      <c r="AG114" s="110"/>
      <c r="AH114" s="108"/>
    </row>
    <row r="115" ht="15" customHeight="1">
      <c r="A115" s="37">
        <v>22103</v>
      </c>
      <c r="B115" s="57">
        <v>38272</v>
      </c>
      <c r="C115" s="40">
        <v>3952</v>
      </c>
      <c r="D115" s="95">
        <v>14.3</v>
      </c>
      <c r="E115" s="95">
        <v>259.392</v>
      </c>
      <c r="F115" s="95">
        <v>382.299225</v>
      </c>
      <c r="G115" t="s" s="87">
        <v>44</v>
      </c>
      <c r="H115" s="95">
        <v>259.392</v>
      </c>
      <c r="I115" s="95">
        <v>382.299225</v>
      </c>
      <c r="J115" t="s" s="87">
        <v>44</v>
      </c>
      <c r="K115" s="95">
        <v>55.7</v>
      </c>
      <c r="L115" t="s" s="87">
        <v>44</v>
      </c>
      <c r="M115" s="95">
        <v>107.1</v>
      </c>
      <c r="N115" t="s" s="87">
        <v>44</v>
      </c>
      <c r="O115" s="95">
        <v>581.3</v>
      </c>
      <c r="P115" s="95">
        <v>195.6</v>
      </c>
      <c r="Q115" s="95">
        <v>0.4</v>
      </c>
      <c r="R115" s="95">
        <v>612.0096</v>
      </c>
      <c r="S115" t="s" s="47">
        <v>44</v>
      </c>
      <c r="T115" t="s" s="47">
        <v>44</v>
      </c>
      <c r="U115" t="s" s="47">
        <v>44</v>
      </c>
      <c r="V115" s="95">
        <v>45.2</v>
      </c>
      <c r="W115" s="95">
        <v>46.2</v>
      </c>
      <c r="X115" s="95">
        <v>55.9</v>
      </c>
      <c r="Y115" s="95">
        <v>50.5</v>
      </c>
      <c r="Z115" s="97"/>
      <c r="AA115" s="109" cm="1">
        <f t="array" ref="AA115">Z115/1.01325</f>
        <v>0</v>
      </c>
      <c r="AB115" s="110"/>
      <c r="AC115" s="110"/>
      <c r="AD115" s="110"/>
      <c r="AE115" s="110"/>
      <c r="AF115" s="110"/>
      <c r="AG115" s="110"/>
      <c r="AH115" s="108"/>
    </row>
    <row r="116" ht="15" customHeight="1">
      <c r="A116" s="37">
        <v>22103</v>
      </c>
      <c r="B116" s="57">
        <v>39008</v>
      </c>
      <c r="C116" s="40">
        <v>3640.8</v>
      </c>
      <c r="D116" s="95">
        <v>7.94</v>
      </c>
      <c r="E116" s="95">
        <v>252.29925</v>
      </c>
      <c r="F116" s="95">
        <v>364.16205</v>
      </c>
      <c r="G116" s="95">
        <v>19.6</v>
      </c>
      <c r="H116" s="95">
        <v>252.29925</v>
      </c>
      <c r="I116" s="95">
        <v>364.16205</v>
      </c>
      <c r="J116" t="s" s="87">
        <v>44</v>
      </c>
      <c r="K116" s="95">
        <v>51</v>
      </c>
      <c r="L116" t="s" s="87">
        <v>44</v>
      </c>
      <c r="M116" s="95">
        <v>105.076</v>
      </c>
      <c r="N116" s="95">
        <v>35.031415368421</v>
      </c>
      <c r="O116" s="95">
        <v>199.6</v>
      </c>
      <c r="P116" s="95">
        <v>71.59999999999999</v>
      </c>
      <c r="Q116" s="95">
        <v>0.7</v>
      </c>
      <c r="R116" s="95">
        <v>216.72742</v>
      </c>
      <c r="S116" s="40">
        <v>11939</v>
      </c>
      <c r="T116" s="40">
        <v>98.09999999999999</v>
      </c>
      <c r="U116" s="40">
        <v>1</v>
      </c>
      <c r="V116" s="95">
        <v>45.2</v>
      </c>
      <c r="W116" s="95">
        <v>38</v>
      </c>
      <c r="X116" s="95">
        <v>49.8</v>
      </c>
      <c r="Y116" s="95">
        <v>49.2</v>
      </c>
      <c r="Z116" s="97">
        <v>91.2</v>
      </c>
      <c r="AA116" s="109" cm="1">
        <f t="array" ref="AA116">Z116/1.01325</f>
        <v>90.0074019245004</v>
      </c>
      <c r="AB116" s="110"/>
      <c r="AC116" s="110"/>
      <c r="AD116" s="110"/>
      <c r="AE116" s="110"/>
      <c r="AF116" s="110"/>
      <c r="AG116" s="110"/>
      <c r="AH116" s="108"/>
    </row>
    <row r="117" ht="15" customHeight="1">
      <c r="A117" s="37">
        <v>22103</v>
      </c>
      <c r="B117" s="57">
        <v>39009</v>
      </c>
      <c r="C117" s="40">
        <v>3640.8</v>
      </c>
      <c r="D117" s="95">
        <v>11.11</v>
      </c>
      <c r="E117" s="95">
        <v>237.9111</v>
      </c>
      <c r="F117" s="95">
        <v>352.509675</v>
      </c>
      <c r="G117" s="95">
        <v>19.8380129811321</v>
      </c>
      <c r="H117" s="95">
        <v>237.9111</v>
      </c>
      <c r="I117" s="95">
        <v>352.509675</v>
      </c>
      <c r="J117" t="s" s="87">
        <v>44</v>
      </c>
      <c r="K117" s="95">
        <v>62</v>
      </c>
      <c r="L117" t="s" s="87">
        <v>44</v>
      </c>
      <c r="M117" s="95">
        <v>106.4</v>
      </c>
      <c r="N117" s="95">
        <v>28.8236485660377</v>
      </c>
      <c r="O117" s="95">
        <v>386.1</v>
      </c>
      <c r="P117" s="95">
        <v>140.5</v>
      </c>
      <c r="Q117" s="95">
        <v>1.4</v>
      </c>
      <c r="R117" s="95">
        <v>414.4262</v>
      </c>
      <c r="S117" s="40">
        <v>18965</v>
      </c>
      <c r="T117" s="40">
        <v>169.4</v>
      </c>
      <c r="U117" s="40">
        <v>1.7</v>
      </c>
      <c r="V117" s="95">
        <v>45.2</v>
      </c>
      <c r="W117" s="95">
        <v>38</v>
      </c>
      <c r="X117" s="95">
        <v>49.8</v>
      </c>
      <c r="Y117" s="95">
        <v>49.2</v>
      </c>
      <c r="Z117" s="97">
        <v>91.2</v>
      </c>
      <c r="AA117" s="109" cm="1">
        <f t="array" ref="AA117">Z117/1.01325</f>
        <v>90.0074019245004</v>
      </c>
      <c r="AB117" s="110"/>
      <c r="AC117" s="110"/>
      <c r="AD117" s="110"/>
      <c r="AE117" s="110"/>
      <c r="AF117" s="110"/>
      <c r="AG117" s="110"/>
      <c r="AH117" s="108"/>
    </row>
    <row r="118" ht="15" customHeight="1">
      <c r="A118" s="37">
        <v>22103</v>
      </c>
      <c r="B118" s="57">
        <v>39010</v>
      </c>
      <c r="C118" s="40">
        <v>3640.8</v>
      </c>
      <c r="D118" s="95">
        <v>14.3</v>
      </c>
      <c r="E118" s="95">
        <v>216.4808625</v>
      </c>
      <c r="F118" s="95">
        <v>338.729475</v>
      </c>
      <c r="G118" s="95">
        <v>34.1626674031008</v>
      </c>
      <c r="H118" s="95">
        <v>216.4808625</v>
      </c>
      <c r="I118" s="95">
        <v>338.729475</v>
      </c>
      <c r="J118" t="s" s="87">
        <v>44</v>
      </c>
      <c r="K118" s="95">
        <v>67</v>
      </c>
      <c r="L118" t="s" s="87">
        <v>44</v>
      </c>
      <c r="M118" s="95">
        <v>106.6</v>
      </c>
      <c r="N118" s="95">
        <v>34.6006681782946</v>
      </c>
      <c r="O118" s="95">
        <v>541.1</v>
      </c>
      <c r="P118" s="95">
        <v>190.6</v>
      </c>
      <c r="Q118" s="95">
        <v>1.9</v>
      </c>
      <c r="R118" s="95">
        <v>577.73522</v>
      </c>
      <c r="S118" s="40">
        <v>15628.46</v>
      </c>
      <c r="T118" s="40">
        <v>230.3</v>
      </c>
      <c r="U118" s="40">
        <v>2.3</v>
      </c>
      <c r="V118" s="95">
        <v>45.2</v>
      </c>
      <c r="W118" s="95">
        <v>38</v>
      </c>
      <c r="X118" s="95">
        <v>49.8</v>
      </c>
      <c r="Y118" s="95">
        <v>49.2</v>
      </c>
      <c r="Z118" s="97">
        <v>90.7461538461538</v>
      </c>
      <c r="AA118" s="109" cm="1">
        <f t="array" ref="AA118">Z118/1.01325</f>
        <v>89.559490595760</v>
      </c>
      <c r="AB118" s="110"/>
      <c r="AC118" s="110"/>
      <c r="AD118" s="110"/>
      <c r="AE118" s="110"/>
      <c r="AF118" s="110"/>
      <c r="AG118" s="110"/>
      <c r="AH118" s="108"/>
    </row>
    <row r="119" ht="15" customHeight="1">
      <c r="A119" s="37">
        <v>22103</v>
      </c>
      <c r="B119" s="57">
        <v>39011</v>
      </c>
      <c r="C119" s="40">
        <v>3640.8</v>
      </c>
      <c r="D119" s="95">
        <v>15.8</v>
      </c>
      <c r="E119" s="95">
        <v>202.143375</v>
      </c>
      <c r="F119" s="95">
        <v>327.381075</v>
      </c>
      <c r="G119" s="95">
        <v>35.3902316078431</v>
      </c>
      <c r="H119" s="95">
        <v>202.143375</v>
      </c>
      <c r="I119" s="95">
        <v>327.381075</v>
      </c>
      <c r="J119" t="s" s="87">
        <v>44</v>
      </c>
      <c r="K119" s="95">
        <v>67</v>
      </c>
      <c r="L119" t="s" s="87">
        <v>44</v>
      </c>
      <c r="M119" s="95">
        <v>106.8</v>
      </c>
      <c r="N119" s="95">
        <v>30.676942627451</v>
      </c>
      <c r="O119" s="95">
        <v>627.11</v>
      </c>
      <c r="P119" s="95">
        <v>207.5</v>
      </c>
      <c r="Q119" s="95">
        <v>10.4</v>
      </c>
      <c r="R119" s="95">
        <v>665.77765</v>
      </c>
      <c r="S119" s="40">
        <v>16880.02</v>
      </c>
      <c r="T119" s="40">
        <v>245.5</v>
      </c>
      <c r="U119" s="40">
        <v>11.4</v>
      </c>
      <c r="V119" s="95">
        <v>45.2</v>
      </c>
      <c r="W119" s="95">
        <v>38</v>
      </c>
      <c r="X119" s="95">
        <v>49.8</v>
      </c>
      <c r="Y119" s="95">
        <v>49.2</v>
      </c>
      <c r="Z119" s="97">
        <v>90.3461538461538</v>
      </c>
      <c r="AA119" s="109" cm="1">
        <f t="array" ref="AA119">Z119/1.01325</f>
        <v>89.1647212890736</v>
      </c>
      <c r="AB119" s="110"/>
      <c r="AC119" s="110"/>
      <c r="AD119" s="110"/>
      <c r="AE119" s="110"/>
      <c r="AF119" s="110"/>
      <c r="AG119" s="110"/>
      <c r="AH119" s="108"/>
    </row>
    <row r="120" ht="15" customHeight="1">
      <c r="A120" s="37">
        <v>22103</v>
      </c>
      <c r="B120" s="57">
        <v>39235</v>
      </c>
      <c r="C120" s="40">
        <v>3640.8</v>
      </c>
      <c r="D120" s="95">
        <v>6.35</v>
      </c>
      <c r="E120" s="95">
        <v>256.35225</v>
      </c>
      <c r="F120" s="95">
        <v>346.835475</v>
      </c>
      <c r="G120" s="95">
        <v>104.354909328909</v>
      </c>
      <c r="H120" s="95">
        <v>256.35225</v>
      </c>
      <c r="I120" s="95">
        <v>344.8</v>
      </c>
      <c r="J120" s="96">
        <v>106.97411</v>
      </c>
      <c r="K120" s="95">
        <v>36</v>
      </c>
      <c r="L120" t="s" s="87">
        <v>44</v>
      </c>
      <c r="M120" s="95">
        <v>106.2</v>
      </c>
      <c r="N120" s="95">
        <v>24.3190802876106</v>
      </c>
      <c r="O120" s="95">
        <v>143.897744314690</v>
      </c>
      <c r="P120" s="95">
        <v>54.8734405309734</v>
      </c>
      <c r="Q120" s="95">
        <v>0</v>
      </c>
      <c r="R120" t="s" s="87">
        <v>44</v>
      </c>
      <c r="S120" s="40">
        <v>918</v>
      </c>
      <c r="T120" s="40">
        <v>99</v>
      </c>
      <c r="U120" s="40">
        <v>0</v>
      </c>
      <c r="V120" s="95">
        <v>45.2</v>
      </c>
      <c r="W120" s="95">
        <v>36.91</v>
      </c>
      <c r="X120" s="95">
        <v>49.1</v>
      </c>
      <c r="Y120" s="95">
        <v>48.4</v>
      </c>
      <c r="Z120" s="97">
        <v>103.7</v>
      </c>
      <c r="AA120" s="109" cm="1">
        <f t="array" ref="AA120">Z120/1.01325</f>
        <v>102.343942758451</v>
      </c>
      <c r="AB120" s="110"/>
      <c r="AC120" s="110"/>
      <c r="AD120" s="110"/>
      <c r="AE120" s="110"/>
      <c r="AF120" s="110"/>
      <c r="AG120" s="110"/>
      <c r="AH120" s="108"/>
    </row>
    <row r="121" ht="15" customHeight="1">
      <c r="A121" s="37">
        <v>22103</v>
      </c>
      <c r="B121" s="57">
        <v>39236</v>
      </c>
      <c r="C121" s="40">
        <v>3640.8</v>
      </c>
      <c r="D121" s="95">
        <v>9.529999999999999</v>
      </c>
      <c r="E121" s="95">
        <v>242.16675</v>
      </c>
      <c r="F121" s="95">
        <v>338.8308</v>
      </c>
      <c r="G121" s="95">
        <v>107.218442601377</v>
      </c>
      <c r="H121" s="95">
        <v>242.16675</v>
      </c>
      <c r="I121" s="95">
        <v>337.7</v>
      </c>
      <c r="J121" s="96">
        <v>104.3933</v>
      </c>
      <c r="K121" s="95">
        <v>44</v>
      </c>
      <c r="L121" t="s" s="87">
        <v>44</v>
      </c>
      <c r="M121" s="95">
        <v>106.4</v>
      </c>
      <c r="N121" s="95">
        <v>37.0743000306044</v>
      </c>
      <c r="O121" s="95">
        <v>294.734036629533</v>
      </c>
      <c r="P121" s="95">
        <v>127.429654108646</v>
      </c>
      <c r="Q121" s="95">
        <v>2.31823932670237</v>
      </c>
      <c r="R121" t="s" s="87">
        <v>44</v>
      </c>
      <c r="S121" s="40">
        <v>2016.83</v>
      </c>
      <c r="T121" s="40">
        <v>189.4</v>
      </c>
      <c r="U121" s="40">
        <v>2.3</v>
      </c>
      <c r="V121" s="95">
        <v>45.2</v>
      </c>
      <c r="W121" s="95">
        <v>36.91</v>
      </c>
      <c r="X121" s="95">
        <v>49.1</v>
      </c>
      <c r="Y121" s="95">
        <v>48.4</v>
      </c>
      <c r="Z121" s="97">
        <v>103</v>
      </c>
      <c r="AA121" s="109" cm="1">
        <f t="array" ref="AA121">Z121/1.01325</f>
        <v>101.653096471749</v>
      </c>
      <c r="AB121" s="110"/>
      <c r="AC121" s="110"/>
      <c r="AD121" s="110"/>
      <c r="AE121" s="110"/>
      <c r="AF121" s="110"/>
      <c r="AG121" s="110"/>
      <c r="AH121" s="108"/>
    </row>
    <row r="122" ht="15" customHeight="1">
      <c r="A122" s="37">
        <v>22103</v>
      </c>
      <c r="B122" s="57">
        <v>39237</v>
      </c>
      <c r="C122" s="40">
        <v>3640.8</v>
      </c>
      <c r="D122" s="95">
        <v>11.11</v>
      </c>
      <c r="E122" s="95">
        <v>235.074</v>
      </c>
      <c r="F122" s="95">
        <v>331.1301</v>
      </c>
      <c r="G122" s="95">
        <v>106.278887168812</v>
      </c>
      <c r="H122" s="95">
        <v>235.074</v>
      </c>
      <c r="I122" s="95">
        <v>331</v>
      </c>
      <c r="J122" s="96">
        <v>106.24757</v>
      </c>
      <c r="K122" s="95">
        <v>49</v>
      </c>
      <c r="L122" t="s" s="87">
        <v>44</v>
      </c>
      <c r="M122" s="95">
        <v>106.47</v>
      </c>
      <c r="N122" s="95">
        <v>43.7389906056018</v>
      </c>
      <c r="O122" s="95">
        <v>383.327216384375</v>
      </c>
      <c r="P122" s="95">
        <v>163.464556850871</v>
      </c>
      <c r="Q122" s="95">
        <v>2.38343509462529</v>
      </c>
      <c r="R122" t="s" s="87">
        <v>44</v>
      </c>
      <c r="S122" s="40">
        <v>2808.94</v>
      </c>
      <c r="T122" s="40">
        <v>240.6</v>
      </c>
      <c r="U122" s="40">
        <v>2.3</v>
      </c>
      <c r="V122" s="95">
        <v>45.2</v>
      </c>
      <c r="W122" s="95">
        <v>36.91</v>
      </c>
      <c r="X122" s="95">
        <v>49.1</v>
      </c>
      <c r="Y122" s="95">
        <v>48.4</v>
      </c>
      <c r="Z122" s="97">
        <v>102.6</v>
      </c>
      <c r="AA122" s="109" cm="1">
        <f t="array" ref="AA122">Z122/1.01325</f>
        <v>101.258327165063</v>
      </c>
      <c r="AB122" s="110"/>
      <c r="AC122" s="110"/>
      <c r="AD122" s="110"/>
      <c r="AE122" s="110"/>
      <c r="AF122" s="110"/>
      <c r="AG122" s="110"/>
      <c r="AH122" s="108"/>
    </row>
    <row r="123" ht="15" customHeight="1">
      <c r="A123" s="37">
        <v>22103</v>
      </c>
      <c r="B123" s="57">
        <v>39238</v>
      </c>
      <c r="C123" s="40">
        <v>3640.8</v>
      </c>
      <c r="D123" s="95">
        <v>12.7</v>
      </c>
      <c r="E123" s="95">
        <v>225.95475</v>
      </c>
      <c r="F123" s="95">
        <v>322.112175</v>
      </c>
      <c r="G123" s="95">
        <v>106.899104617206</v>
      </c>
      <c r="H123" s="95">
        <v>225.95475</v>
      </c>
      <c r="I123" s="95">
        <v>321.2</v>
      </c>
      <c r="J123" s="96">
        <v>106.80819</v>
      </c>
      <c r="K123" s="95">
        <v>52</v>
      </c>
      <c r="L123" t="s" s="87">
        <v>44</v>
      </c>
      <c r="M123" s="95">
        <v>106.4</v>
      </c>
      <c r="N123" s="95">
        <v>48.8254711444357</v>
      </c>
      <c r="O123" s="95">
        <v>470.927280195296</v>
      </c>
      <c r="P123" s="95">
        <v>198.888629455406</v>
      </c>
      <c r="Q123" s="95">
        <v>2.88771921073401</v>
      </c>
      <c r="R123" t="s" s="87">
        <v>44</v>
      </c>
      <c r="S123" s="40">
        <v>3567</v>
      </c>
      <c r="T123" s="40">
        <v>292.2</v>
      </c>
      <c r="U123" s="40">
        <v>2.8</v>
      </c>
      <c r="V123" s="95">
        <v>45.2</v>
      </c>
      <c r="W123" s="95">
        <v>36.91</v>
      </c>
      <c r="X123" s="95">
        <v>49.1</v>
      </c>
      <c r="Y123" s="95">
        <v>48.4</v>
      </c>
      <c r="Z123" s="97">
        <v>102.5</v>
      </c>
      <c r="AA123" s="109" cm="1">
        <f t="array" ref="AA123">Z123/1.01325</f>
        <v>101.159634838391</v>
      </c>
      <c r="AB123" s="110"/>
      <c r="AC123" s="110"/>
      <c r="AD123" s="110"/>
      <c r="AE123" s="110"/>
      <c r="AF123" s="110"/>
      <c r="AG123" s="110"/>
      <c r="AH123" s="108"/>
    </row>
    <row r="124" ht="15" customHeight="1">
      <c r="A124" s="37">
        <v>22103</v>
      </c>
      <c r="B124" s="57">
        <v>39239</v>
      </c>
      <c r="C124" s="40">
        <v>3640.8</v>
      </c>
      <c r="D124" s="95">
        <v>14.3</v>
      </c>
      <c r="E124" s="95">
        <v>218.862</v>
      </c>
      <c r="F124" s="95">
        <v>313.398225</v>
      </c>
      <c r="G124" s="95">
        <v>108.513847870579</v>
      </c>
      <c r="H124" s="95">
        <v>218.862</v>
      </c>
      <c r="I124" s="95">
        <v>317.5</v>
      </c>
      <c r="J124" s="96">
        <v>108.4459</v>
      </c>
      <c r="K124" s="95">
        <v>52</v>
      </c>
      <c r="L124" t="s" s="87">
        <v>44</v>
      </c>
      <c r="M124" s="95">
        <v>106.7</v>
      </c>
      <c r="N124" s="95">
        <v>52.5682012340105</v>
      </c>
      <c r="O124" s="95">
        <v>536.444085610475</v>
      </c>
      <c r="P124" s="95">
        <v>223.081982302484</v>
      </c>
      <c r="Q124" s="95">
        <v>7.887590248307</v>
      </c>
      <c r="R124" t="s" s="87">
        <v>44</v>
      </c>
      <c r="S124" s="40">
        <v>4111</v>
      </c>
      <c r="T124" s="40">
        <v>328.4</v>
      </c>
      <c r="U124" s="40">
        <v>8.1</v>
      </c>
      <c r="V124" s="95">
        <v>45.2</v>
      </c>
      <c r="W124" s="95">
        <v>36.91</v>
      </c>
      <c r="X124" s="95">
        <v>49.1</v>
      </c>
      <c r="Y124" s="95">
        <v>48.4</v>
      </c>
      <c r="Z124" s="97">
        <v>103.9</v>
      </c>
      <c r="AA124" s="109" cm="1">
        <f t="array" ref="AA124">Z124/1.01325</f>
        <v>102.541327411794</v>
      </c>
      <c r="AB124" s="110"/>
      <c r="AC124" s="110"/>
      <c r="AD124" s="110"/>
      <c r="AE124" s="110"/>
      <c r="AF124" s="110"/>
      <c r="AG124" s="110"/>
      <c r="AH124" s="108"/>
    </row>
    <row r="125" ht="15" customHeight="1">
      <c r="A125" s="37">
        <v>22103</v>
      </c>
      <c r="B125" s="57">
        <v>39499</v>
      </c>
      <c r="C125" s="40">
        <v>3640.5</v>
      </c>
      <c r="D125" s="95">
        <v>7.94</v>
      </c>
      <c r="E125" s="95">
        <v>248.0436</v>
      </c>
      <c r="F125" s="95">
        <v>346.32885</v>
      </c>
      <c r="G125" s="95">
        <v>98.67319372685159</v>
      </c>
      <c r="H125" s="96">
        <v>245</v>
      </c>
      <c r="I125" s="95">
        <v>346.4</v>
      </c>
      <c r="J125" s="96">
        <v>98.06473</v>
      </c>
      <c r="K125" s="95">
        <v>48.1</v>
      </c>
      <c r="L125" s="95">
        <v>26.5</v>
      </c>
      <c r="M125" s="95">
        <v>106.5</v>
      </c>
      <c r="N125" s="95">
        <v>26.4705337384259</v>
      </c>
      <c r="O125" s="95">
        <v>211.693176300278</v>
      </c>
      <c r="P125" s="95">
        <v>100.381505555556</v>
      </c>
      <c r="Q125" s="95">
        <v>1.38945555555556</v>
      </c>
      <c r="R125" s="95">
        <v>235.986890100278</v>
      </c>
      <c r="S125" s="40">
        <v>1499</v>
      </c>
      <c r="T125" s="40">
        <v>172.2</v>
      </c>
      <c r="U125" s="40">
        <v>1.4</v>
      </c>
      <c r="V125" s="95">
        <v>45.2</v>
      </c>
      <c r="W125" s="95">
        <v>36.99</v>
      </c>
      <c r="X125" t="s" s="87">
        <v>44</v>
      </c>
      <c r="Y125" t="s" s="87">
        <v>44</v>
      </c>
      <c r="Z125" s="97">
        <v>97.40000000000001</v>
      </c>
      <c r="AA125" s="109" cm="1">
        <f t="array" ref="AA125">Z125/1.01325</f>
        <v>96.12632617813961</v>
      </c>
      <c r="AB125" s="110"/>
      <c r="AC125" s="110"/>
      <c r="AD125" s="110"/>
      <c r="AE125" s="110"/>
      <c r="AF125" s="110"/>
      <c r="AG125" s="110"/>
      <c r="AH125" s="108"/>
    </row>
    <row r="126" ht="15" customHeight="1">
      <c r="A126" s="37">
        <v>22103</v>
      </c>
      <c r="B126" s="57">
        <v>39499</v>
      </c>
      <c r="C126" s="40">
        <v>3640.5</v>
      </c>
      <c r="D126" s="95">
        <v>9.529999999999999</v>
      </c>
      <c r="E126" s="95">
        <v>241.1535</v>
      </c>
      <c r="F126" s="95">
        <v>340.0467</v>
      </c>
      <c r="G126" s="95">
        <v>99.7501107243164</v>
      </c>
      <c r="H126" s="96">
        <v>235</v>
      </c>
      <c r="I126" s="95">
        <v>340</v>
      </c>
      <c r="J126" s="96">
        <v>97.57602</v>
      </c>
      <c r="K126" s="95">
        <v>56.8</v>
      </c>
      <c r="L126" s="95">
        <v>35.7</v>
      </c>
      <c r="M126" s="95">
        <v>106.6</v>
      </c>
      <c r="N126" s="95">
        <v>36.0313931855137</v>
      </c>
      <c r="O126" s="95">
        <v>294.102898717694</v>
      </c>
      <c r="P126" s="95">
        <v>137.709262616408</v>
      </c>
      <c r="Q126" s="95">
        <v>1.18159680709534</v>
      </c>
      <c r="R126" s="95">
        <v>320.158672801526</v>
      </c>
      <c r="S126" s="40">
        <v>2228.3</v>
      </c>
      <c r="T126" s="40">
        <v>235.7</v>
      </c>
      <c r="U126" s="40">
        <v>1.1</v>
      </c>
      <c r="V126" s="95">
        <v>45.2</v>
      </c>
      <c r="W126" s="95">
        <v>36.99</v>
      </c>
      <c r="X126" t="s" s="87">
        <v>44</v>
      </c>
      <c r="Y126" t="s" s="87">
        <v>44</v>
      </c>
      <c r="Z126" s="97">
        <v>97.40000000000001</v>
      </c>
      <c r="AA126" s="109" cm="1">
        <f t="array" ref="AA126">Z126/1.01325</f>
        <v>96.12632617813961</v>
      </c>
      <c r="AB126" s="110"/>
      <c r="AC126" s="110"/>
      <c r="AD126" s="110"/>
      <c r="AE126" s="110"/>
      <c r="AF126" s="110"/>
      <c r="AG126" s="110"/>
      <c r="AH126" s="108"/>
    </row>
    <row r="127" ht="15" customHeight="1">
      <c r="A127" s="37">
        <v>22103</v>
      </c>
      <c r="B127" s="57">
        <v>39500</v>
      </c>
      <c r="C127" s="40">
        <v>3640.5</v>
      </c>
      <c r="D127" s="95">
        <v>11.11</v>
      </c>
      <c r="E127" s="95">
        <v>231.932925</v>
      </c>
      <c r="F127" s="95">
        <v>332.5182525</v>
      </c>
      <c r="G127" s="95">
        <v>100.732035664952</v>
      </c>
      <c r="H127" s="96">
        <v>230</v>
      </c>
      <c r="I127" s="95">
        <v>332.5</v>
      </c>
      <c r="J127" s="96">
        <v>100.92252</v>
      </c>
      <c r="K127" s="95">
        <v>61.9</v>
      </c>
      <c r="L127" s="95">
        <v>42.3</v>
      </c>
      <c r="M127" s="95">
        <v>106.6</v>
      </c>
      <c r="N127" s="95">
        <v>42.6860871858927</v>
      </c>
      <c r="O127" s="95">
        <v>375.696136120382</v>
      </c>
      <c r="P127" s="95">
        <v>175.258664393828</v>
      </c>
      <c r="Q127" s="95">
        <v>1.8010030271859</v>
      </c>
      <c r="R127" s="95">
        <v>408.856876426721</v>
      </c>
      <c r="S127" s="40">
        <v>2957</v>
      </c>
      <c r="T127" s="40">
        <v>229.8</v>
      </c>
      <c r="U127" s="40">
        <v>1.8</v>
      </c>
      <c r="V127" s="95">
        <v>45.2</v>
      </c>
      <c r="W127" s="95">
        <v>36.99</v>
      </c>
      <c r="X127" t="s" s="87">
        <v>44</v>
      </c>
      <c r="Y127" t="s" s="87">
        <v>44</v>
      </c>
      <c r="Z127" s="97">
        <v>98.2</v>
      </c>
      <c r="AA127" s="109" cm="1">
        <f t="array" ref="AA127">Z127/1.01325</f>
        <v>96.9158647915125</v>
      </c>
      <c r="AB127" s="110"/>
      <c r="AC127" s="110"/>
      <c r="AD127" s="110"/>
      <c r="AE127" s="110"/>
      <c r="AF127" s="110"/>
      <c r="AG127" s="110"/>
      <c r="AH127" s="108"/>
    </row>
    <row r="128" ht="15" customHeight="1">
      <c r="A128" s="37">
        <v>22103</v>
      </c>
      <c r="B128" s="57">
        <v>39501</v>
      </c>
      <c r="C128" s="40">
        <v>3640.5</v>
      </c>
      <c r="D128" s="95">
        <v>12.7</v>
      </c>
      <c r="E128" s="95">
        <v>219.6726</v>
      </c>
      <c r="F128" s="95">
        <v>323.125425</v>
      </c>
      <c r="G128" s="95">
        <v>101.437548585643</v>
      </c>
      <c r="H128" s="96">
        <v>215</v>
      </c>
      <c r="I128" s="95">
        <v>323.1</v>
      </c>
      <c r="J128" s="96">
        <v>99.99746</v>
      </c>
      <c r="K128" s="95">
        <v>65.90000000000001</v>
      </c>
      <c r="L128" s="95">
        <v>47.6</v>
      </c>
      <c r="M128" s="95">
        <v>106.5</v>
      </c>
      <c r="N128" s="95">
        <v>47.7088901066098</v>
      </c>
      <c r="O128" s="95">
        <v>467.322337924435</v>
      </c>
      <c r="P128" s="95">
        <v>213.294268827292</v>
      </c>
      <c r="Q128" s="95">
        <v>2.92092434968017</v>
      </c>
      <c r="R128" s="95">
        <v>507.680534510909</v>
      </c>
      <c r="S128" s="40">
        <v>3788</v>
      </c>
      <c r="T128" s="40">
        <v>364.8</v>
      </c>
      <c r="U128" s="40">
        <v>2.9</v>
      </c>
      <c r="V128" s="95">
        <v>45.2</v>
      </c>
      <c r="W128" s="95">
        <v>36.99</v>
      </c>
      <c r="X128" t="s" s="87">
        <v>44</v>
      </c>
      <c r="Y128" t="s" s="87">
        <v>44</v>
      </c>
      <c r="Z128" s="97">
        <v>100.1</v>
      </c>
      <c r="AA128" s="109" cm="1">
        <f t="array" ref="AA128">Z128/1.01325</f>
        <v>98.7910189982729</v>
      </c>
      <c r="AB128" s="110"/>
      <c r="AC128" s="110"/>
      <c r="AD128" s="110"/>
      <c r="AE128" s="110"/>
      <c r="AF128" s="110"/>
      <c r="AG128" s="110"/>
      <c r="AH128" s="108"/>
    </row>
    <row r="129" ht="15" customHeight="1">
      <c r="A129" s="37">
        <v>22103</v>
      </c>
      <c r="B129" s="57">
        <v>39502</v>
      </c>
      <c r="C129" s="40">
        <v>3640.5</v>
      </c>
      <c r="D129" s="95">
        <v>14.3</v>
      </c>
      <c r="E129" s="95">
        <v>206.703</v>
      </c>
      <c r="F129" s="95">
        <v>313.7022</v>
      </c>
      <c r="G129" s="95">
        <v>101.614067120231</v>
      </c>
      <c r="H129" s="96">
        <v>203</v>
      </c>
      <c r="I129" s="95">
        <v>313.7</v>
      </c>
      <c r="J129" s="96">
        <v>106.12093</v>
      </c>
      <c r="K129" s="95">
        <v>67.59999999999999</v>
      </c>
      <c r="L129" s="95">
        <v>51.8</v>
      </c>
      <c r="M129" s="95">
        <v>106.4</v>
      </c>
      <c r="N129" s="95">
        <v>51.9442259899209</v>
      </c>
      <c r="O129" s="95">
        <v>537.995782777884</v>
      </c>
      <c r="P129" s="95">
        <v>253.089064881209</v>
      </c>
      <c r="Q129" s="95">
        <v>2.58416311015119</v>
      </c>
      <c r="R129" s="95">
        <v>585.882818016519</v>
      </c>
      <c r="S129" s="40">
        <v>4455</v>
      </c>
      <c r="T129" s="40">
        <v>431.1</v>
      </c>
      <c r="U129" s="40">
        <v>2.6</v>
      </c>
      <c r="V129" s="95">
        <v>45.2</v>
      </c>
      <c r="W129" s="95">
        <v>36.99</v>
      </c>
      <c r="X129" t="s" s="87">
        <v>44</v>
      </c>
      <c r="Y129" t="s" s="87">
        <v>44</v>
      </c>
      <c r="Z129" s="97">
        <v>98.59999999999999</v>
      </c>
      <c r="AA129" s="109" cm="1">
        <f t="array" ref="AA129">Z129/1.01325</f>
        <v>97.3106340981989</v>
      </c>
      <c r="AB129" s="110"/>
      <c r="AC129" s="110"/>
      <c r="AD129" s="110"/>
      <c r="AE129" s="110"/>
      <c r="AF129" s="110"/>
      <c r="AG129" s="110"/>
      <c r="AH129" s="108"/>
    </row>
    <row r="130" ht="15" customHeight="1">
      <c r="A130" s="37">
        <v>22104</v>
      </c>
      <c r="B130" s="57">
        <v>39383</v>
      </c>
      <c r="C130" s="40">
        <v>3577.5</v>
      </c>
      <c r="D130" s="95">
        <v>7.94</v>
      </c>
      <c r="E130" s="95">
        <v>222.1044</v>
      </c>
      <c r="F130" s="95">
        <v>312.992925</v>
      </c>
      <c r="G130" s="95">
        <v>99.0084656492967</v>
      </c>
      <c r="H130" s="96">
        <v>218</v>
      </c>
      <c r="I130" s="95">
        <v>312.9</v>
      </c>
      <c r="J130" s="96">
        <v>97.90286999999999</v>
      </c>
      <c r="K130" s="95">
        <v>46.2</v>
      </c>
      <c r="L130" s="95">
        <v>24.8</v>
      </c>
      <c r="M130" s="95">
        <v>106.614</v>
      </c>
      <c r="N130" s="95">
        <v>25.1951248552523</v>
      </c>
      <c r="O130" s="95">
        <v>196.009812597320</v>
      </c>
      <c r="P130" s="95">
        <v>62.8554259057073</v>
      </c>
      <c r="Q130" s="95">
        <v>0.333977965260546</v>
      </c>
      <c r="R130" s="95">
        <v>213.270246528992</v>
      </c>
      <c r="S130" s="40">
        <v>1391</v>
      </c>
      <c r="T130" s="40">
        <v>110.9</v>
      </c>
      <c r="U130" s="40">
        <v>0.3</v>
      </c>
      <c r="V130" s="119">
        <v>45.6</v>
      </c>
      <c r="W130" s="119">
        <v>34.18</v>
      </c>
      <c r="X130" s="119">
        <v>49</v>
      </c>
      <c r="Y130" s="119">
        <v>49.7</v>
      </c>
      <c r="Z130" s="97">
        <v>98.09999999999999</v>
      </c>
      <c r="AA130" s="109" cm="1">
        <f t="array" ref="AA130">Z130/1.01325</f>
        <v>96.81717246484089</v>
      </c>
      <c r="AB130" s="110"/>
      <c r="AC130" s="110"/>
      <c r="AD130" s="110"/>
      <c r="AE130" s="110"/>
      <c r="AF130" s="110"/>
      <c r="AG130" s="110"/>
      <c r="AH130" s="108"/>
    </row>
    <row r="131" ht="15" customHeight="1">
      <c r="A131" s="37">
        <v>22104</v>
      </c>
      <c r="B131" s="57">
        <v>39384</v>
      </c>
      <c r="C131" s="40">
        <v>3577.5</v>
      </c>
      <c r="D131" s="95">
        <v>9.529999999999999</v>
      </c>
      <c r="E131" s="95">
        <v>213.79575</v>
      </c>
      <c r="F131" s="95">
        <v>304.886925</v>
      </c>
      <c r="G131" s="95">
        <v>99.26105127031011</v>
      </c>
      <c r="H131" s="96">
        <v>212</v>
      </c>
      <c r="I131" s="95">
        <v>305</v>
      </c>
      <c r="J131" s="96">
        <v>97.4281</v>
      </c>
      <c r="K131" s="95">
        <v>53.5</v>
      </c>
      <c r="L131" s="95">
        <v>32.1</v>
      </c>
      <c r="M131" s="95">
        <v>106.6</v>
      </c>
      <c r="N131" s="95">
        <v>32.471255465288</v>
      </c>
      <c r="O131" s="95">
        <v>267.041845741862</v>
      </c>
      <c r="P131" s="95">
        <v>88.69588909896611</v>
      </c>
      <c r="Q131" s="95">
        <v>0.311692644017726</v>
      </c>
      <c r="R131" s="95">
        <v>286.776992759026</v>
      </c>
      <c r="S131" s="40">
        <v>2026</v>
      </c>
      <c r="T131" s="40">
        <v>155.6</v>
      </c>
      <c r="U131" s="40">
        <v>0.3</v>
      </c>
      <c r="V131" s="119">
        <v>45.6</v>
      </c>
      <c r="W131" s="119">
        <v>34.18</v>
      </c>
      <c r="X131" s="119">
        <v>49</v>
      </c>
      <c r="Y131" s="119">
        <v>49.7</v>
      </c>
      <c r="Z131" s="97">
        <v>97.7</v>
      </c>
      <c r="AA131" s="109" cm="1">
        <f t="array" ref="AA131">Z131/1.01325</f>
        <v>96.42240315815449</v>
      </c>
      <c r="AB131" s="110"/>
      <c r="AC131" s="110"/>
      <c r="AD131" s="110"/>
      <c r="AE131" s="110"/>
      <c r="AF131" s="110"/>
      <c r="AG131" s="110"/>
      <c r="AH131" s="108"/>
    </row>
    <row r="132" ht="15" customHeight="1">
      <c r="A132" s="37">
        <v>22104</v>
      </c>
      <c r="B132" s="57">
        <v>39385</v>
      </c>
      <c r="C132" s="40">
        <v>3577.5</v>
      </c>
      <c r="D132" s="95">
        <v>11.11</v>
      </c>
      <c r="E132" s="95">
        <v>198.597</v>
      </c>
      <c r="F132" s="95">
        <v>294.5821725</v>
      </c>
      <c r="G132" s="95">
        <v>98.84375012762059</v>
      </c>
      <c r="H132" s="96">
        <v>200</v>
      </c>
      <c r="I132" s="95">
        <v>294.7</v>
      </c>
      <c r="J132" s="96">
        <v>98.64989</v>
      </c>
      <c r="K132" s="95">
        <v>57.9</v>
      </c>
      <c r="L132" s="95">
        <v>38.5</v>
      </c>
      <c r="M132" s="95">
        <v>106.5</v>
      </c>
      <c r="N132" s="95">
        <v>38.900153491340</v>
      </c>
      <c r="O132" s="95">
        <v>336.646590232124</v>
      </c>
      <c r="P132" s="95">
        <v>115.337295970829</v>
      </c>
      <c r="Q132" s="95">
        <v>0.704291485870557</v>
      </c>
      <c r="R132" s="95">
        <v>362.309842877120</v>
      </c>
      <c r="S132" s="40">
        <v>2720</v>
      </c>
      <c r="T132" s="40">
        <v>201.5</v>
      </c>
      <c r="U132" s="40">
        <v>0.7</v>
      </c>
      <c r="V132" s="119">
        <v>45.6</v>
      </c>
      <c r="W132" s="119">
        <v>34.18</v>
      </c>
      <c r="X132" s="119">
        <v>49</v>
      </c>
      <c r="Y132" s="119">
        <v>49.7</v>
      </c>
      <c r="Z132" s="97">
        <v>97.09999999999999</v>
      </c>
      <c r="AA132" s="109" cm="1">
        <f t="array" ref="AA132">Z132/1.01325</f>
        <v>95.8302491981248</v>
      </c>
      <c r="AB132" s="110"/>
      <c r="AC132" s="110"/>
      <c r="AD132" s="110"/>
      <c r="AE132" s="110"/>
      <c r="AF132" s="110"/>
      <c r="AG132" s="110"/>
      <c r="AH132" s="108"/>
    </row>
    <row r="133" ht="15" customHeight="1">
      <c r="A133" s="37">
        <v>22104</v>
      </c>
      <c r="B133" s="57">
        <v>39386</v>
      </c>
      <c r="C133" s="40">
        <v>3577.5</v>
      </c>
      <c r="D133" s="95">
        <v>12.7</v>
      </c>
      <c r="E133" s="95">
        <v>188.4645</v>
      </c>
      <c r="F133" s="95">
        <v>282.4941</v>
      </c>
      <c r="G133" s="95">
        <v>98.3005547149122</v>
      </c>
      <c r="H133" s="96">
        <v>196</v>
      </c>
      <c r="I133" s="95">
        <v>282.6</v>
      </c>
      <c r="J133" s="96">
        <v>97.86206</v>
      </c>
      <c r="K133" s="95">
        <v>62.3</v>
      </c>
      <c r="L133" s="95">
        <v>44.2</v>
      </c>
      <c r="M133" s="95">
        <v>106.4</v>
      </c>
      <c r="N133" s="95">
        <v>44.6266015423977</v>
      </c>
      <c r="O133" s="95">
        <v>406.207893781754</v>
      </c>
      <c r="P133" s="95">
        <v>142.148358596491</v>
      </c>
      <c r="Q133" s="95">
        <v>2.72583368421052</v>
      </c>
      <c r="R133" s="95">
        <v>437.838629403157</v>
      </c>
      <c r="S133" s="40">
        <v>3464</v>
      </c>
      <c r="T133" s="40">
        <v>246.9</v>
      </c>
      <c r="U133" s="40">
        <v>2.7</v>
      </c>
      <c r="V133" s="119">
        <v>45.6</v>
      </c>
      <c r="W133" s="119">
        <v>34.18</v>
      </c>
      <c r="X133" s="119">
        <v>49</v>
      </c>
      <c r="Y133" s="119">
        <v>49.7</v>
      </c>
      <c r="Z133" s="97">
        <v>97.7</v>
      </c>
      <c r="AA133" s="109" cm="1">
        <f t="array" ref="AA133">Z133/1.01325</f>
        <v>96.42240315815449</v>
      </c>
      <c r="AB133" s="110"/>
      <c r="AC133" s="110"/>
      <c r="AD133" s="110"/>
      <c r="AE133" s="110"/>
      <c r="AF133" s="110"/>
      <c r="AG133" s="110"/>
      <c r="AH133" s="108"/>
    </row>
    <row r="134" ht="15" customHeight="1">
      <c r="A134" s="37">
        <v>22104</v>
      </c>
      <c r="B134" s="57">
        <v>39387</v>
      </c>
      <c r="C134" s="40">
        <v>3577.5</v>
      </c>
      <c r="D134" s="95">
        <v>14.29</v>
      </c>
      <c r="E134" s="95">
        <v>173.26575</v>
      </c>
      <c r="F134" s="95">
        <v>270.13245</v>
      </c>
      <c r="G134" s="95">
        <v>97.394537872493</v>
      </c>
      <c r="H134" s="96">
        <v>174</v>
      </c>
      <c r="I134" s="95">
        <v>270.5</v>
      </c>
      <c r="J134" s="96">
        <v>97.38319</v>
      </c>
      <c r="K134" s="95">
        <v>63</v>
      </c>
      <c r="L134" s="95">
        <v>48.3</v>
      </c>
      <c r="M134" s="95">
        <v>106.3</v>
      </c>
      <c r="N134" s="95">
        <v>48.3432150286533</v>
      </c>
      <c r="O134" s="95">
        <v>459.280296553065</v>
      </c>
      <c r="P134" s="95">
        <v>158.907305501433</v>
      </c>
      <c r="Q134" s="95">
        <v>3.30153747851002</v>
      </c>
      <c r="R134" s="95">
        <v>494.640473564613</v>
      </c>
      <c r="S134" s="40">
        <v>4088</v>
      </c>
      <c r="T134" s="40">
        <v>273.9</v>
      </c>
      <c r="U134" s="40">
        <v>3.3</v>
      </c>
      <c r="V134" s="119">
        <v>45.6</v>
      </c>
      <c r="W134" s="119">
        <v>34.18</v>
      </c>
      <c r="X134" s="119">
        <v>49</v>
      </c>
      <c r="Y134" s="119">
        <v>49.7</v>
      </c>
      <c r="Z134" s="97">
        <v>95.2</v>
      </c>
      <c r="AA134" s="109" cm="1">
        <f t="array" ref="AA134">Z134/1.01325</f>
        <v>93.9550949913644</v>
      </c>
      <c r="AB134" s="110"/>
      <c r="AC134" s="110"/>
      <c r="AD134" s="110"/>
      <c r="AE134" s="110"/>
      <c r="AF134" s="110"/>
      <c r="AG134" s="110"/>
      <c r="AH134" s="108"/>
    </row>
    <row r="135" ht="15" customHeight="1">
      <c r="A135" s="37">
        <v>22104</v>
      </c>
      <c r="B135" s="57">
        <v>40430</v>
      </c>
      <c r="C135" s="40">
        <v>3577.3</v>
      </c>
      <c r="D135" s="95">
        <v>9.529999999999999</v>
      </c>
      <c r="E135" s="95">
        <v>148.9</v>
      </c>
      <c r="F135" s="95">
        <v>206.277</v>
      </c>
      <c r="G135" s="95">
        <v>92.3</v>
      </c>
      <c r="H135" s="104">
        <v>149</v>
      </c>
      <c r="I135" s="95">
        <v>194.6</v>
      </c>
      <c r="J135" s="95">
        <v>92.3</v>
      </c>
      <c r="K135" s="95">
        <v>44</v>
      </c>
      <c r="L135" s="95">
        <v>27.9</v>
      </c>
      <c r="M135" s="95">
        <v>103.25</v>
      </c>
      <c r="N135" s="95">
        <v>31.5</v>
      </c>
      <c r="O135" s="95">
        <v>196.407</v>
      </c>
      <c r="P135" s="95">
        <v>30.8</v>
      </c>
      <c r="Q135" s="95">
        <v>0.105992443903796</v>
      </c>
      <c r="R135" s="95">
        <v>201.100064257172</v>
      </c>
      <c r="S135" s="40">
        <v>1645</v>
      </c>
      <c r="T135" s="40">
        <v>58.2</v>
      </c>
      <c r="U135" s="40">
        <v>0.1</v>
      </c>
      <c r="V135" s="95">
        <v>48.8092</v>
      </c>
      <c r="W135" s="95">
        <v>23.78</v>
      </c>
      <c r="X135" s="95">
        <v>43.4</v>
      </c>
      <c r="Y135" t="s" s="87">
        <v>44</v>
      </c>
      <c r="Z135" s="97">
        <v>89.8</v>
      </c>
      <c r="AA135" s="109" cm="1">
        <f t="array" ref="AA135">Z135/1.01325</f>
        <v>88.625709351098</v>
      </c>
      <c r="AB135" s="110"/>
      <c r="AC135" s="110"/>
      <c r="AD135" s="110"/>
      <c r="AE135" s="110"/>
      <c r="AF135" s="110"/>
      <c r="AG135" s="110"/>
      <c r="AH135" s="108"/>
    </row>
    <row r="136" ht="15" customHeight="1">
      <c r="A136" s="37">
        <v>22104</v>
      </c>
      <c r="B136" s="57">
        <v>40435</v>
      </c>
      <c r="C136" s="40">
        <v>3577.3</v>
      </c>
      <c r="D136" s="95">
        <v>11.11</v>
      </c>
      <c r="E136" s="95">
        <v>137.6</v>
      </c>
      <c r="F136" s="95">
        <v>197.5</v>
      </c>
      <c r="G136" s="95">
        <v>92.7</v>
      </c>
      <c r="H136" s="104">
        <v>134</v>
      </c>
      <c r="I136" s="95">
        <v>180.6</v>
      </c>
      <c r="J136" s="95">
        <v>92.8</v>
      </c>
      <c r="K136" s="95">
        <v>49</v>
      </c>
      <c r="L136" s="95">
        <v>36</v>
      </c>
      <c r="M136" s="95">
        <v>103.12</v>
      </c>
      <c r="N136" s="95">
        <v>38.3</v>
      </c>
      <c r="O136" s="95">
        <v>244.555</v>
      </c>
      <c r="P136" s="95">
        <v>35.2</v>
      </c>
      <c r="Q136" s="95">
        <v>0.1</v>
      </c>
      <c r="R136" s="95">
        <v>249.918544207876</v>
      </c>
      <c r="S136" s="40">
        <v>2118</v>
      </c>
      <c r="T136" s="40">
        <v>66.7</v>
      </c>
      <c r="U136" s="40">
        <v>0.1</v>
      </c>
      <c r="V136" s="95">
        <v>48.8092</v>
      </c>
      <c r="W136" s="95">
        <v>23.78</v>
      </c>
      <c r="X136" s="95">
        <v>43.4</v>
      </c>
      <c r="Y136" t="s" s="87">
        <v>44</v>
      </c>
      <c r="Z136" s="97">
        <v>90.09999999999999</v>
      </c>
      <c r="AA136" s="109" cm="1">
        <f t="array" ref="AA136">Z136/1.01325</f>
        <v>88.9217863311128</v>
      </c>
      <c r="AB136" s="110"/>
      <c r="AC136" s="110"/>
      <c r="AD136" s="110"/>
      <c r="AE136" s="110"/>
      <c r="AF136" s="110"/>
      <c r="AG136" s="110"/>
      <c r="AH136" s="108"/>
    </row>
    <row r="137" ht="15" customHeight="1">
      <c r="A137" s="37">
        <v>22104</v>
      </c>
      <c r="B137" s="57">
        <v>40439</v>
      </c>
      <c r="C137" s="40">
        <v>3577.3</v>
      </c>
      <c r="D137" s="95">
        <v>12.7</v>
      </c>
      <c r="E137" s="95">
        <v>131.3</v>
      </c>
      <c r="F137" s="95">
        <v>189.068</v>
      </c>
      <c r="G137" s="95">
        <v>92</v>
      </c>
      <c r="H137" s="104">
        <v>129</v>
      </c>
      <c r="I137" s="95">
        <v>162</v>
      </c>
      <c r="J137" s="95">
        <v>93</v>
      </c>
      <c r="K137" s="95">
        <v>53</v>
      </c>
      <c r="L137" s="95">
        <v>41.8</v>
      </c>
      <c r="M137" s="95">
        <v>102.95</v>
      </c>
      <c r="N137" s="95">
        <v>42.9</v>
      </c>
      <c r="O137" s="95">
        <v>275.764</v>
      </c>
      <c r="P137" s="95">
        <v>34.6</v>
      </c>
      <c r="Q137" s="95">
        <v>0.4</v>
      </c>
      <c r="R137" s="95">
        <v>281.203917489573</v>
      </c>
      <c r="S137" s="40">
        <v>2474</v>
      </c>
      <c r="T137" s="40">
        <v>66.09999999999999</v>
      </c>
      <c r="U137" s="40">
        <v>0.4</v>
      </c>
      <c r="V137" s="95">
        <v>48.8092</v>
      </c>
      <c r="W137" s="95">
        <v>23.78</v>
      </c>
      <c r="X137" s="95">
        <v>43.4</v>
      </c>
      <c r="Y137" t="s" s="87">
        <v>44</v>
      </c>
      <c r="Z137" s="97">
        <v>89.59999999999999</v>
      </c>
      <c r="AA137" s="109" cm="1">
        <f t="array" ref="AA137">Z137/1.01325</f>
        <v>88.4283246977547</v>
      </c>
      <c r="AB137" s="110"/>
      <c r="AC137" s="110"/>
      <c r="AD137" s="110"/>
      <c r="AE137" s="110"/>
      <c r="AF137" s="110"/>
      <c r="AG137" s="110"/>
      <c r="AH137" s="108"/>
    </row>
    <row r="138" ht="15" customHeight="1">
      <c r="A138" s="37">
        <v>22104</v>
      </c>
      <c r="B138" s="57">
        <v>40443</v>
      </c>
      <c r="C138" s="40">
        <v>3577.3</v>
      </c>
      <c r="D138" s="95">
        <v>14.29</v>
      </c>
      <c r="E138" s="95">
        <v>120.9</v>
      </c>
      <c r="F138" s="95">
        <v>179.555</v>
      </c>
      <c r="G138" s="95">
        <v>93.3</v>
      </c>
      <c r="H138" s="104">
        <v>119</v>
      </c>
      <c r="I138" s="95">
        <v>160</v>
      </c>
      <c r="J138" s="95">
        <v>92.7</v>
      </c>
      <c r="K138" s="95">
        <v>54</v>
      </c>
      <c r="L138" s="95">
        <v>45.8</v>
      </c>
      <c r="M138" s="95">
        <v>102.72</v>
      </c>
      <c r="N138" s="95">
        <v>47.5</v>
      </c>
      <c r="O138" s="95">
        <v>312.62</v>
      </c>
      <c r="P138" s="95">
        <v>31.6</v>
      </c>
      <c r="Q138" s="95">
        <v>5.6</v>
      </c>
      <c r="R138" s="95">
        <v>317.593070025375</v>
      </c>
      <c r="S138" s="40">
        <v>2913</v>
      </c>
      <c r="T138" s="40">
        <v>59</v>
      </c>
      <c r="U138" s="40">
        <v>5.9</v>
      </c>
      <c r="V138" s="95">
        <v>48.8092</v>
      </c>
      <c r="W138" s="95">
        <v>23.78</v>
      </c>
      <c r="X138" s="95">
        <v>43.4</v>
      </c>
      <c r="Y138" t="s" s="87">
        <v>44</v>
      </c>
      <c r="Z138" s="97">
        <v>89.59999999999999</v>
      </c>
      <c r="AA138" s="109" cm="1">
        <f t="array" ref="AA138">Z138/1.01325</f>
        <v>88.4283246977547</v>
      </c>
      <c r="AB138" s="110"/>
      <c r="AC138" s="110"/>
      <c r="AD138" s="110"/>
      <c r="AE138" s="110"/>
      <c r="AF138" s="110"/>
      <c r="AG138" s="110"/>
      <c r="AH138" s="108"/>
    </row>
    <row r="139" ht="15" customHeight="1">
      <c r="A139" s="37">
        <v>22104</v>
      </c>
      <c r="B139" s="57">
        <v>40744</v>
      </c>
      <c r="C139" s="40">
        <v>3554.8</v>
      </c>
      <c r="D139" s="95">
        <v>9.529999999999999</v>
      </c>
      <c r="E139" s="95">
        <v>138.28</v>
      </c>
      <c r="F139" s="95">
        <v>193.3</v>
      </c>
      <c r="G139" s="95">
        <v>93.6254805555557</v>
      </c>
      <c r="H139" s="104">
        <v>140</v>
      </c>
      <c r="I139" s="95">
        <v>195</v>
      </c>
      <c r="J139" s="95">
        <v>93.479</v>
      </c>
      <c r="K139" s="95">
        <v>44</v>
      </c>
      <c r="L139" s="95">
        <v>32.5</v>
      </c>
      <c r="M139" s="95">
        <v>104.2</v>
      </c>
      <c r="N139" s="95">
        <v>32.4711701388889</v>
      </c>
      <c r="O139" s="95">
        <v>175.4</v>
      </c>
      <c r="P139" s="95">
        <v>26.2</v>
      </c>
      <c r="Q139" s="95">
        <v>0.4</v>
      </c>
      <c r="R139" s="95">
        <v>182.69186</v>
      </c>
      <c r="S139" s="40">
        <v>1462</v>
      </c>
      <c r="T139" s="40">
        <v>48.6</v>
      </c>
      <c r="U139" s="40">
        <v>0.4</v>
      </c>
      <c r="V139" s="95">
        <v>48.8</v>
      </c>
      <c r="W139" s="95"/>
      <c r="X139" s="95">
        <v>34</v>
      </c>
      <c r="Y139" s="95"/>
      <c r="Z139" s="97">
        <v>89.59999999999999</v>
      </c>
      <c r="AA139" s="109" cm="1">
        <f t="array" ref="AA139">Z139/1.01325</f>
        <v>88.4283246977547</v>
      </c>
      <c r="AB139" s="110"/>
      <c r="AC139" s="110"/>
      <c r="AD139" s="110"/>
      <c r="AE139" s="110"/>
      <c r="AF139" s="110"/>
      <c r="AG139" s="110"/>
      <c r="AH139" s="108"/>
    </row>
    <row r="140" ht="15" customHeight="1">
      <c r="A140" s="37">
        <v>22501</v>
      </c>
      <c r="B140" s="57">
        <v>39251</v>
      </c>
      <c r="C140" s="40">
        <v>3424.5</v>
      </c>
      <c r="D140" s="95">
        <v>6.35</v>
      </c>
      <c r="E140" s="95">
        <v>219.87525</v>
      </c>
      <c r="F140" s="95">
        <v>316.1</v>
      </c>
      <c r="G140" s="95">
        <v>101.819504273504</v>
      </c>
      <c r="H140" s="95">
        <v>219.87525</v>
      </c>
      <c r="I140" s="95">
        <v>316.2</v>
      </c>
      <c r="J140" s="95">
        <v>101.922258064516</v>
      </c>
      <c r="K140" s="95">
        <v>24.2</v>
      </c>
      <c r="L140" t="s" s="87">
        <v>44</v>
      </c>
      <c r="M140" s="95">
        <v>106.2</v>
      </c>
      <c r="N140" s="95">
        <v>23.6625760683761</v>
      </c>
      <c r="O140" s="95">
        <v>128.365641025641</v>
      </c>
      <c r="P140" s="95">
        <v>39.7413179487179</v>
      </c>
      <c r="Q140" s="95">
        <v>0.6</v>
      </c>
      <c r="R140" s="95">
        <v>136.815245221538</v>
      </c>
      <c r="S140" s="40">
        <v>884</v>
      </c>
      <c r="T140" s="40">
        <v>68.90000000000001</v>
      </c>
      <c r="U140" s="40">
        <v>0.5</v>
      </c>
      <c r="V140" s="95">
        <v>44.2</v>
      </c>
      <c r="W140" s="95">
        <v>37.21</v>
      </c>
      <c r="X140" s="95">
        <v>50.2</v>
      </c>
      <c r="Y140" s="95">
        <v>50.7</v>
      </c>
      <c r="Z140" s="97">
        <v>101.8</v>
      </c>
      <c r="AA140" s="109" cm="1">
        <f t="array" ref="AA140">Z140/1.01325</f>
        <v>100.468788551690</v>
      </c>
      <c r="AB140" s="110"/>
      <c r="AC140" s="110">
        <v>780</v>
      </c>
      <c r="AD140" s="110"/>
      <c r="AE140" s="110">
        <v>0.648</v>
      </c>
      <c r="AF140" s="110"/>
      <c r="AG140" s="110"/>
      <c r="AH140" s="111">
        <v>0.241</v>
      </c>
    </row>
    <row r="141" ht="15" customHeight="1">
      <c r="A141" s="37">
        <v>22501</v>
      </c>
      <c r="B141" s="57">
        <v>39252</v>
      </c>
      <c r="C141" s="40">
        <v>3424.5</v>
      </c>
      <c r="D141" s="95">
        <v>9.529999999999999</v>
      </c>
      <c r="E141" s="95">
        <v>201.63675</v>
      </c>
      <c r="F141" s="95">
        <v>281.5</v>
      </c>
      <c r="G141" s="95">
        <v>103.865199240987</v>
      </c>
      <c r="H141" s="95">
        <v>201.63675</v>
      </c>
      <c r="I141" s="95">
        <v>275.9</v>
      </c>
      <c r="J141" s="95">
        <v>103.971612903226</v>
      </c>
      <c r="K141" s="95">
        <v>35.5</v>
      </c>
      <c r="L141" t="s" s="87">
        <v>44</v>
      </c>
      <c r="M141" s="95">
        <v>106.4</v>
      </c>
      <c r="N141" s="95">
        <v>36.5582314990512</v>
      </c>
      <c r="O141" s="95">
        <v>244.578709677419</v>
      </c>
      <c r="P141" s="95">
        <v>67.5829070208728</v>
      </c>
      <c r="Q141" s="95">
        <v>1.39802220113852</v>
      </c>
      <c r="R141" s="95">
        <v>259.198290488235</v>
      </c>
      <c r="S141" s="40">
        <v>1867</v>
      </c>
      <c r="T141" s="40">
        <v>120.4</v>
      </c>
      <c r="U141" s="40">
        <v>1.4</v>
      </c>
      <c r="V141" s="95">
        <v>44.2</v>
      </c>
      <c r="W141" s="95">
        <v>37.21</v>
      </c>
      <c r="X141" s="95">
        <v>50.2</v>
      </c>
      <c r="Y141" s="95">
        <v>50.7</v>
      </c>
      <c r="Z141" s="97">
        <v>103.6</v>
      </c>
      <c r="AA141" s="109" cm="1">
        <f t="array" ref="AA141">Z141/1.01325</f>
        <v>102.245250431779</v>
      </c>
      <c r="AB141" s="110"/>
      <c r="AC141" s="110">
        <v>780</v>
      </c>
      <c r="AD141" s="110"/>
      <c r="AE141" s="110">
        <v>0.648</v>
      </c>
      <c r="AF141" s="110"/>
      <c r="AG141" s="110"/>
      <c r="AH141" s="111">
        <v>0.216</v>
      </c>
    </row>
    <row r="142" ht="15" customHeight="1">
      <c r="A142" s="37">
        <v>22501</v>
      </c>
      <c r="B142" s="57">
        <v>39253</v>
      </c>
      <c r="C142" s="40">
        <v>3424.5</v>
      </c>
      <c r="D142" s="95">
        <v>11.11</v>
      </c>
      <c r="E142" s="95">
        <v>182.385</v>
      </c>
      <c r="F142" s="95">
        <v>257.9</v>
      </c>
      <c r="G142" s="95">
        <v>103.064883720930</v>
      </c>
      <c r="H142" s="95">
        <v>182.385</v>
      </c>
      <c r="I142" s="95">
        <v>258</v>
      </c>
      <c r="J142" s="95">
        <v>103.451290322581</v>
      </c>
      <c r="K142" s="95">
        <v>42.3</v>
      </c>
      <c r="L142" t="s" s="87">
        <v>44</v>
      </c>
      <c r="M142" s="95">
        <v>106.47</v>
      </c>
      <c r="N142" s="95">
        <v>42.6324778012685</v>
      </c>
      <c r="O142" s="95">
        <v>295.813107822410</v>
      </c>
      <c r="P142" s="95">
        <v>71.2940359408034</v>
      </c>
      <c r="Q142" s="95">
        <v>2.18344841437632</v>
      </c>
      <c r="R142" s="95">
        <v>311.236191244820</v>
      </c>
      <c r="S142" s="40">
        <v>2445</v>
      </c>
      <c r="T142" s="40">
        <v>123.9</v>
      </c>
      <c r="U142" s="40">
        <v>2.3</v>
      </c>
      <c r="V142" s="95">
        <v>44.2</v>
      </c>
      <c r="W142" s="95">
        <v>37.21</v>
      </c>
      <c r="X142" s="95">
        <v>50.2</v>
      </c>
      <c r="Y142" s="95">
        <v>50.7</v>
      </c>
      <c r="Z142" s="97">
        <v>102.6</v>
      </c>
      <c r="AA142" s="109" cm="1">
        <f t="array" ref="AA142">Z142/1.01325</f>
        <v>101.258327165063</v>
      </c>
      <c r="AB142" s="110"/>
      <c r="AC142" s="110">
        <v>792</v>
      </c>
      <c r="AD142" s="110"/>
      <c r="AE142" s="110">
        <v>0.648</v>
      </c>
      <c r="AF142" s="110"/>
      <c r="AG142" s="110"/>
      <c r="AH142" s="111">
        <v>0.191</v>
      </c>
    </row>
    <row r="143" ht="15" customHeight="1">
      <c r="A143" s="37">
        <v>22501</v>
      </c>
      <c r="B143" s="57">
        <v>39254</v>
      </c>
      <c r="C143" s="40">
        <v>3424.5</v>
      </c>
      <c r="D143" s="95">
        <v>12.7</v>
      </c>
      <c r="E143" s="95">
        <v>163.13325</v>
      </c>
      <c r="F143" s="95">
        <v>236.5</v>
      </c>
      <c r="G143" s="95">
        <v>104.280881057269</v>
      </c>
      <c r="H143" s="95">
        <v>163.13325</v>
      </c>
      <c r="I143" s="95">
        <v>237.8</v>
      </c>
      <c r="J143" s="95">
        <v>104.341290322581</v>
      </c>
      <c r="K143" s="95">
        <v>47.8</v>
      </c>
      <c r="L143" t="s" s="87">
        <v>44</v>
      </c>
      <c r="M143" s="95">
        <v>106.4</v>
      </c>
      <c r="N143" s="95">
        <v>48.0159052863436</v>
      </c>
      <c r="O143" s="95">
        <v>330.504691629956</v>
      </c>
      <c r="P143" s="95">
        <v>74.58585242290749</v>
      </c>
      <c r="Q143" s="95">
        <v>2.50087290748899</v>
      </c>
      <c r="R143" s="95">
        <v>346.640112381938</v>
      </c>
      <c r="S143" s="40">
        <v>2869</v>
      </c>
      <c r="T143" s="40">
        <v>126.4</v>
      </c>
      <c r="U143" s="40">
        <v>2.6</v>
      </c>
      <c r="V143" s="95">
        <v>44.2</v>
      </c>
      <c r="W143" s="95">
        <v>37.21</v>
      </c>
      <c r="X143" s="95">
        <v>50.2</v>
      </c>
      <c r="Y143" s="95">
        <v>50.7</v>
      </c>
      <c r="Z143" s="97">
        <v>103.9</v>
      </c>
      <c r="AA143" s="109" cm="1">
        <f t="array" ref="AA143">Z143/1.01325</f>
        <v>102.541327411794</v>
      </c>
      <c r="AB143" s="110"/>
      <c r="AC143" s="110">
        <v>785</v>
      </c>
      <c r="AD143" s="110"/>
      <c r="AE143" s="110">
        <v>0.648</v>
      </c>
      <c r="AF143" s="110"/>
      <c r="AG143" s="110"/>
      <c r="AH143" s="111">
        <v>0.177</v>
      </c>
    </row>
    <row r="144" ht="15" customHeight="1">
      <c r="A144" s="37">
        <v>22501</v>
      </c>
      <c r="B144" s="57">
        <v>39255</v>
      </c>
      <c r="C144" s="40">
        <v>3424.5</v>
      </c>
      <c r="D144" s="95">
        <v>14.3</v>
      </c>
      <c r="E144" s="95">
        <v>149.961</v>
      </c>
      <c r="F144" s="95">
        <v>221.2</v>
      </c>
      <c r="G144" s="95">
        <v>104.428843441467</v>
      </c>
      <c r="H144" s="95">
        <v>149.961</v>
      </c>
      <c r="I144" s="95">
        <v>221.3</v>
      </c>
      <c r="J144" s="95">
        <v>104.622105263158</v>
      </c>
      <c r="K144" s="95">
        <v>50.6</v>
      </c>
      <c r="L144" t="s" s="87">
        <v>44</v>
      </c>
      <c r="M144" s="95">
        <v>106.7</v>
      </c>
      <c r="N144" s="95">
        <v>50.5755373765868</v>
      </c>
      <c r="O144" s="95">
        <v>346.704076163611</v>
      </c>
      <c r="P144" s="95">
        <v>73.12181382228491</v>
      </c>
      <c r="Q144" s="95">
        <v>2.550217348378</v>
      </c>
      <c r="R144" s="95">
        <v>362.522874710719</v>
      </c>
      <c r="S144" s="40">
        <v>3112</v>
      </c>
      <c r="T144" s="40">
        <v>121.4</v>
      </c>
      <c r="U144" s="40">
        <v>2.6</v>
      </c>
      <c r="V144" s="95">
        <v>44.2</v>
      </c>
      <c r="W144" s="95">
        <v>37.21</v>
      </c>
      <c r="X144" s="95">
        <v>50.2</v>
      </c>
      <c r="Y144" s="95">
        <v>50.7</v>
      </c>
      <c r="Z144" s="97">
        <v>104</v>
      </c>
      <c r="AA144" s="109" cm="1">
        <f t="array" ref="AA144">Z144/1.01325</f>
        <v>102.640019738465</v>
      </c>
      <c r="AB144" s="110"/>
      <c r="AC144" s="110">
        <v>777</v>
      </c>
      <c r="AD144" s="110"/>
      <c r="AE144" s="110">
        <v>0.648</v>
      </c>
      <c r="AF144" s="110"/>
      <c r="AG144" s="110"/>
      <c r="AH144" s="111">
        <v>0.164</v>
      </c>
    </row>
    <row r="145" ht="15" customHeight="1">
      <c r="A145" s="37">
        <v>22501</v>
      </c>
      <c r="B145" s="57">
        <v>39486</v>
      </c>
      <c r="C145" s="40">
        <v>3437</v>
      </c>
      <c r="D145" s="95">
        <v>7.5</v>
      </c>
      <c r="E145" s="95">
        <v>212</v>
      </c>
      <c r="F145" s="95">
        <v>305.56</v>
      </c>
      <c r="G145" s="95">
        <v>100.8</v>
      </c>
      <c r="H145" s="96">
        <v>215</v>
      </c>
      <c r="I145" s="95">
        <v>305.6</v>
      </c>
      <c r="J145" s="95">
        <v>99.7</v>
      </c>
      <c r="K145" s="95">
        <v>40</v>
      </c>
      <c r="L145" s="95">
        <v>26</v>
      </c>
      <c r="M145" s="95">
        <v>106.5</v>
      </c>
      <c r="N145" s="95">
        <v>25.9</v>
      </c>
      <c r="O145" s="95">
        <v>162.152</v>
      </c>
      <c r="P145" s="95">
        <v>45.4</v>
      </c>
      <c r="Q145" s="95">
        <v>0.6</v>
      </c>
      <c r="R145" s="95">
        <v>172.04072</v>
      </c>
      <c r="S145" s="40">
        <v>1168</v>
      </c>
      <c r="T145" s="40">
        <v>79</v>
      </c>
      <c r="U145" s="40">
        <v>0.5</v>
      </c>
      <c r="V145" s="95">
        <v>44.2</v>
      </c>
      <c r="W145" s="95">
        <v>36.46</v>
      </c>
      <c r="X145" s="95">
        <v>47.9</v>
      </c>
      <c r="Y145" s="95">
        <v>48.6</v>
      </c>
      <c r="Z145" s="97">
        <v>99.8</v>
      </c>
      <c r="AA145" s="109" cm="1">
        <f t="array" ref="AA145">Z145/1.01325</f>
        <v>98.4949420182581</v>
      </c>
      <c r="AB145" s="110"/>
      <c r="AC145" s="110">
        <v>782</v>
      </c>
      <c r="AD145" s="110"/>
      <c r="AE145" s="110">
        <v>0.6840000000000001</v>
      </c>
      <c r="AF145" s="110"/>
      <c r="AG145" s="110"/>
      <c r="AH145" s="111">
        <v>0.219</v>
      </c>
    </row>
    <row r="146" ht="15" customHeight="1">
      <c r="A146" s="37">
        <v>22501</v>
      </c>
      <c r="B146" s="57">
        <v>39486</v>
      </c>
      <c r="C146" s="40">
        <v>3437</v>
      </c>
      <c r="D146" s="95">
        <v>7.94</v>
      </c>
      <c r="E146" s="95">
        <v>210.625</v>
      </c>
      <c r="F146" s="95">
        <v>298.69</v>
      </c>
      <c r="G146" s="95">
        <v>100.6</v>
      </c>
      <c r="H146" s="96">
        <v>209</v>
      </c>
      <c r="I146" s="95">
        <v>298.7</v>
      </c>
      <c r="J146" s="95">
        <v>100.6</v>
      </c>
      <c r="K146" s="95">
        <v>48</v>
      </c>
      <c r="L146" s="95">
        <v>27.8</v>
      </c>
      <c r="M146" s="95">
        <v>106.6</v>
      </c>
      <c r="N146" s="95">
        <v>28.5</v>
      </c>
      <c r="O146" s="95">
        <v>189.82</v>
      </c>
      <c r="P146" s="95">
        <v>52.8</v>
      </c>
      <c r="Q146" s="95">
        <v>1</v>
      </c>
      <c r="R146" s="95">
        <v>201.32084</v>
      </c>
      <c r="S146" s="40">
        <v>1401</v>
      </c>
      <c r="T146" s="40">
        <v>93.09999999999999</v>
      </c>
      <c r="U146" s="40">
        <v>1</v>
      </c>
      <c r="V146" s="95">
        <v>44.2</v>
      </c>
      <c r="W146" s="95">
        <v>36.46</v>
      </c>
      <c r="X146" s="95">
        <v>47.9</v>
      </c>
      <c r="Y146" s="95">
        <v>48.6</v>
      </c>
      <c r="Z146" s="97">
        <v>99.8</v>
      </c>
      <c r="AA146" s="109" cm="1">
        <f t="array" ref="AA146">Z146/1.01325</f>
        <v>98.4949420182581</v>
      </c>
      <c r="AB146" s="110"/>
      <c r="AC146" s="110">
        <v>782</v>
      </c>
      <c r="AD146" s="110"/>
      <c r="AE146" s="110">
        <v>0.6840000000000001</v>
      </c>
      <c r="AF146" s="110"/>
      <c r="AG146" s="110"/>
      <c r="AH146" s="111">
        <v>0.218</v>
      </c>
    </row>
    <row r="147" ht="15" customHeight="1">
      <c r="A147" s="37">
        <v>22501</v>
      </c>
      <c r="B147" s="57">
        <v>39487</v>
      </c>
      <c r="C147" s="40">
        <v>3437</v>
      </c>
      <c r="D147" s="95">
        <v>9.529999999999999</v>
      </c>
      <c r="E147" s="95">
        <v>193.52</v>
      </c>
      <c r="F147" s="95">
        <v>278.23</v>
      </c>
      <c r="G147" s="95">
        <v>100.6</v>
      </c>
      <c r="H147" s="96">
        <v>193</v>
      </c>
      <c r="I147" s="95">
        <v>278.2</v>
      </c>
      <c r="J147" s="95">
        <v>100.6</v>
      </c>
      <c r="K147" s="95">
        <v>54</v>
      </c>
      <c r="L147" s="95">
        <v>35.1</v>
      </c>
      <c r="M147" s="95">
        <v>106.6</v>
      </c>
      <c r="N147" s="95">
        <v>36.3</v>
      </c>
      <c r="O147" s="95">
        <v>250.427</v>
      </c>
      <c r="P147" s="95">
        <v>63.9</v>
      </c>
      <c r="Q147" s="95">
        <v>1.5</v>
      </c>
      <c r="R147" s="95">
        <v>264.34592</v>
      </c>
      <c r="S147" s="40">
        <v>1996</v>
      </c>
      <c r="T147" s="40">
        <v>110.8</v>
      </c>
      <c r="U147" s="40">
        <v>1.6</v>
      </c>
      <c r="V147" s="95">
        <v>44.2</v>
      </c>
      <c r="W147" s="95">
        <v>36.46</v>
      </c>
      <c r="X147" s="95">
        <v>47.9</v>
      </c>
      <c r="Y147" s="95">
        <v>48.6</v>
      </c>
      <c r="Z147" s="97">
        <v>100.1</v>
      </c>
      <c r="AA147" s="109" cm="1">
        <f t="array" ref="AA147">Z147/1.01325</f>
        <v>98.7910189982729</v>
      </c>
      <c r="AB147" s="110"/>
      <c r="AC147" s="110">
        <v>782</v>
      </c>
      <c r="AD147" s="110"/>
      <c r="AE147" s="110">
        <v>0.6840000000000001</v>
      </c>
      <c r="AF147" s="110"/>
      <c r="AG147" s="110"/>
      <c r="AH147" s="111">
        <v>0.2</v>
      </c>
    </row>
    <row r="148" ht="15" customHeight="1">
      <c r="A148" s="37">
        <v>22501</v>
      </c>
      <c r="B148" s="57">
        <v>39488</v>
      </c>
      <c r="C148" s="40">
        <v>3437</v>
      </c>
      <c r="D148" s="95">
        <v>11.11</v>
      </c>
      <c r="E148" s="95">
        <v>175.230769230769</v>
      </c>
      <c r="F148" s="95">
        <v>256.21</v>
      </c>
      <c r="G148" s="95">
        <v>101.2</v>
      </c>
      <c r="H148" s="96">
        <v>173</v>
      </c>
      <c r="I148" s="95">
        <v>256.2</v>
      </c>
      <c r="J148" s="95">
        <v>101.2</v>
      </c>
      <c r="K148" s="95">
        <v>54</v>
      </c>
      <c r="L148" s="95">
        <v>40.9</v>
      </c>
      <c r="M148" s="95">
        <v>106.5</v>
      </c>
      <c r="N148" s="95">
        <v>41</v>
      </c>
      <c r="O148" s="95">
        <v>305.587</v>
      </c>
      <c r="P148" s="95">
        <v>63</v>
      </c>
      <c r="Q148" s="95">
        <v>1.7</v>
      </c>
      <c r="R148" s="95">
        <v>319.3101</v>
      </c>
      <c r="S148" s="40">
        <v>2545</v>
      </c>
      <c r="T148" s="40">
        <v>115.5</v>
      </c>
      <c r="U148" s="40">
        <v>1.9</v>
      </c>
      <c r="V148" s="95">
        <v>44.2</v>
      </c>
      <c r="W148" s="95">
        <v>36.46</v>
      </c>
      <c r="X148" s="95">
        <v>47.9</v>
      </c>
      <c r="Y148" s="95">
        <v>48.6</v>
      </c>
      <c r="Z148" s="97">
        <v>100.1</v>
      </c>
      <c r="AA148" s="109" cm="1">
        <f t="array" ref="AA148">Z148/1.01325</f>
        <v>98.7910189982729</v>
      </c>
      <c r="AB148" s="110"/>
      <c r="AC148" s="110">
        <v>782</v>
      </c>
      <c r="AD148" s="110"/>
      <c r="AE148" s="110">
        <v>0.6840000000000001</v>
      </c>
      <c r="AF148" s="110"/>
      <c r="AG148" s="110"/>
      <c r="AH148" s="111">
        <v>0.161</v>
      </c>
    </row>
    <row r="149" ht="15" customHeight="1">
      <c r="A149" s="37">
        <v>22501</v>
      </c>
      <c r="B149" s="57">
        <v>39489</v>
      </c>
      <c r="C149" s="40">
        <v>3437</v>
      </c>
      <c r="D149" s="95">
        <v>12.7</v>
      </c>
      <c r="E149" s="95">
        <v>153.346153846154</v>
      </c>
      <c r="F149" s="95">
        <v>234.19</v>
      </c>
      <c r="G149" s="95">
        <v>101.3</v>
      </c>
      <c r="H149" s="96">
        <v>154</v>
      </c>
      <c r="I149" s="95">
        <v>234.2</v>
      </c>
      <c r="J149" s="95">
        <v>101.6</v>
      </c>
      <c r="K149" s="95">
        <v>56</v>
      </c>
      <c r="L149" s="95">
        <v>45.6</v>
      </c>
      <c r="M149" s="95">
        <v>106.4</v>
      </c>
      <c r="N149" s="95">
        <v>46.2</v>
      </c>
      <c r="O149" s="95">
        <v>344.288</v>
      </c>
      <c r="P149" s="95">
        <v>69</v>
      </c>
      <c r="Q149" s="95">
        <v>0.9</v>
      </c>
      <c r="R149" s="95">
        <v>359.3171</v>
      </c>
      <c r="S149" s="40">
        <v>3043</v>
      </c>
      <c r="T149" s="40">
        <v>113.2</v>
      </c>
      <c r="U149" s="40">
        <v>1</v>
      </c>
      <c r="V149" s="95">
        <v>44.2</v>
      </c>
      <c r="W149" s="95">
        <v>36.46</v>
      </c>
      <c r="X149" s="95">
        <v>47.9</v>
      </c>
      <c r="Y149" s="95">
        <v>48.6</v>
      </c>
      <c r="Z149" s="97">
        <v>100.3</v>
      </c>
      <c r="AA149" s="109" cm="1">
        <f t="array" ref="AA149">Z149/1.01325</f>
        <v>98.9884036516161</v>
      </c>
      <c r="AB149" s="110"/>
      <c r="AC149" s="110">
        <v>782</v>
      </c>
      <c r="AD149" s="110"/>
      <c r="AE149" s="110">
        <v>0.6840000000000001</v>
      </c>
      <c r="AF149" s="110"/>
      <c r="AG149" s="110"/>
      <c r="AH149" s="111">
        <v>0.157</v>
      </c>
    </row>
    <row r="150" ht="15" customHeight="1">
      <c r="A150" s="37">
        <v>22501</v>
      </c>
      <c r="B150" s="57">
        <v>39490</v>
      </c>
      <c r="C150" s="40">
        <v>3437</v>
      </c>
      <c r="D150" s="95">
        <v>14.29</v>
      </c>
      <c r="E150" s="95">
        <v>138.157894736842</v>
      </c>
      <c r="F150" s="95">
        <v>216.9</v>
      </c>
      <c r="G150" s="95">
        <v>101.4</v>
      </c>
      <c r="H150" s="96">
        <v>138</v>
      </c>
      <c r="I150" s="95">
        <v>216.8</v>
      </c>
      <c r="J150" s="95">
        <v>100.2</v>
      </c>
      <c r="K150" s="95">
        <v>57</v>
      </c>
      <c r="L150" s="95">
        <v>49.3</v>
      </c>
      <c r="M150" s="95">
        <v>106.43</v>
      </c>
      <c r="N150" s="95">
        <v>49.7</v>
      </c>
      <c r="O150" s="95">
        <v>360.232</v>
      </c>
      <c r="P150" s="95">
        <v>71.09999999999999</v>
      </c>
      <c r="Q150" s="95">
        <v>0.8</v>
      </c>
      <c r="R150" s="95">
        <v>375.71838</v>
      </c>
      <c r="S150" s="40">
        <v>3320</v>
      </c>
      <c r="T150" s="40">
        <v>116.8</v>
      </c>
      <c r="U150" s="40">
        <v>0.8</v>
      </c>
      <c r="V150" s="95">
        <v>44.2</v>
      </c>
      <c r="W150" s="95">
        <v>36.46</v>
      </c>
      <c r="X150" s="95">
        <v>47.9</v>
      </c>
      <c r="Y150" s="95">
        <v>48.6</v>
      </c>
      <c r="Z150" s="97">
        <v>100.7</v>
      </c>
      <c r="AA150" s="109" cm="1">
        <f t="array" ref="AA150">Z150/1.01325</f>
        <v>99.3831729583025</v>
      </c>
      <c r="AB150" s="110"/>
      <c r="AC150" s="110">
        <v>782</v>
      </c>
      <c r="AD150" s="110"/>
      <c r="AE150" s="110">
        <v>0.6840000000000001</v>
      </c>
      <c r="AF150" s="110"/>
      <c r="AG150" s="110"/>
      <c r="AH150" s="111">
        <v>0.154</v>
      </c>
    </row>
    <row r="151" ht="15" customHeight="1">
      <c r="A151" s="37">
        <v>22501</v>
      </c>
      <c r="B151" s="57">
        <v>40707</v>
      </c>
      <c r="C151" s="40">
        <v>3440</v>
      </c>
      <c r="D151" s="95">
        <v>7.94</v>
      </c>
      <c r="E151" s="95">
        <v>163.615384615385</v>
      </c>
      <c r="F151" s="95">
        <v>174</v>
      </c>
      <c r="G151" s="95">
        <v>92.05268979875061</v>
      </c>
      <c r="H151" s="104">
        <v>163</v>
      </c>
      <c r="I151" s="95">
        <v>174</v>
      </c>
      <c r="J151" s="96">
        <v>90.94499999999999</v>
      </c>
      <c r="K151" s="95">
        <v>44</v>
      </c>
      <c r="L151" s="95">
        <v>25.6</v>
      </c>
      <c r="M151" s="95">
        <v>102.55</v>
      </c>
      <c r="N151" s="95">
        <v>25.9427779319917</v>
      </c>
      <c r="O151" s="95">
        <v>145.678507980569</v>
      </c>
      <c r="P151" s="95">
        <v>33.9399424011103</v>
      </c>
      <c r="Q151" s="95">
        <v>0.239244496877169</v>
      </c>
      <c r="R151" s="95">
        <v>154.323250554629</v>
      </c>
      <c r="S151" s="40">
        <v>1187</v>
      </c>
      <c r="T151" s="40">
        <v>60.9</v>
      </c>
      <c r="U151" s="40">
        <v>0.2</v>
      </c>
      <c r="V151" s="95">
        <v>44.2</v>
      </c>
      <c r="W151" s="95">
        <v>29.17</v>
      </c>
      <c r="X151" s="78">
        <v>56.1</v>
      </c>
      <c r="Y151" t="s" s="87">
        <v>44</v>
      </c>
      <c r="Z151" s="97">
        <v>90</v>
      </c>
      <c r="AA151" s="109" cm="1">
        <f t="array" ref="AA151">Z151/1.01325</f>
        <v>88.8230940044412</v>
      </c>
      <c r="AB151" s="110"/>
      <c r="AC151" s="110">
        <v>770.1</v>
      </c>
      <c r="AD151" s="110"/>
      <c r="AE151" s="110">
        <v>0.57</v>
      </c>
      <c r="AF151" s="110"/>
      <c r="AG151" s="110"/>
      <c r="AH151" s="111">
        <v>0.18</v>
      </c>
    </row>
    <row r="152" ht="15" customHeight="1">
      <c r="A152" s="37">
        <v>22501</v>
      </c>
      <c r="B152" s="57">
        <v>40710</v>
      </c>
      <c r="C152" s="40">
        <v>3440</v>
      </c>
      <c r="D152" s="95">
        <v>7.94</v>
      </c>
      <c r="E152" s="95">
        <v>163.6</v>
      </c>
      <c r="F152" s="95">
        <v>228.46</v>
      </c>
      <c r="G152" s="95">
        <v>92.5879348370926</v>
      </c>
      <c r="H152" s="104">
        <v>164</v>
      </c>
      <c r="I152" s="95">
        <v>229.1</v>
      </c>
      <c r="J152" s="96">
        <v>92.642</v>
      </c>
      <c r="K152" s="95">
        <v>42</v>
      </c>
      <c r="L152" s="95">
        <v>24.8</v>
      </c>
      <c r="M152" s="95">
        <v>102.507</v>
      </c>
      <c r="N152" s="95">
        <v>25.8076115288221</v>
      </c>
      <c r="O152" s="95">
        <v>145.723458646617</v>
      </c>
      <c r="P152" s="95">
        <v>33.6297669172932</v>
      </c>
      <c r="Q152" s="95">
        <v>0.23698969924812</v>
      </c>
      <c r="R152" s="95">
        <v>154.289197270150</v>
      </c>
      <c r="S152" s="40">
        <v>1168</v>
      </c>
      <c r="T152" s="40">
        <v>60.1</v>
      </c>
      <c r="U152" s="40">
        <v>0.2</v>
      </c>
      <c r="V152" s="95">
        <v>44.2</v>
      </c>
      <c r="W152" s="95">
        <v>29.17</v>
      </c>
      <c r="X152" s="78">
        <v>56.1</v>
      </c>
      <c r="Y152" t="s" s="87">
        <v>44</v>
      </c>
      <c r="Z152" s="97">
        <v>90.40000000000001</v>
      </c>
      <c r="AA152" s="109" cm="1">
        <f t="array" ref="AA152">Z152/1.01325</f>
        <v>89.2178633111276</v>
      </c>
      <c r="AB152" s="110"/>
      <c r="AC152" s="110">
        <v>770.1</v>
      </c>
      <c r="AD152" s="110"/>
      <c r="AE152" s="110">
        <v>0.57</v>
      </c>
      <c r="AF152" s="110"/>
      <c r="AG152" s="110"/>
      <c r="AH152" s="111">
        <v>0.178</v>
      </c>
    </row>
    <row r="153" ht="15" customHeight="1">
      <c r="A153" s="37">
        <v>22501</v>
      </c>
      <c r="B153" s="57">
        <v>40711</v>
      </c>
      <c r="C153" s="40">
        <v>3440</v>
      </c>
      <c r="D153" s="95">
        <v>7.94</v>
      </c>
      <c r="E153" s="95">
        <v>163</v>
      </c>
      <c r="F153" s="95">
        <v>228.1</v>
      </c>
      <c r="G153" s="95">
        <v>92.6323398762964</v>
      </c>
      <c r="H153" s="104">
        <v>163</v>
      </c>
      <c r="I153" s="95">
        <v>231.4</v>
      </c>
      <c r="J153" s="96">
        <v>94.154</v>
      </c>
      <c r="K153" s="95">
        <v>43</v>
      </c>
      <c r="L153" s="95">
        <v>26.6</v>
      </c>
      <c r="M153" s="95">
        <v>102.068</v>
      </c>
      <c r="N153" s="95">
        <v>26.2389237470214</v>
      </c>
      <c r="O153" s="95">
        <v>144.771189151599</v>
      </c>
      <c r="P153" s="95">
        <v>33.8491383866481</v>
      </c>
      <c r="Q153" s="95">
        <v>0.237654798331015</v>
      </c>
      <c r="R153" s="95">
        <v>153.392802353477</v>
      </c>
      <c r="S153" s="40">
        <v>1172</v>
      </c>
      <c r="T153" s="40">
        <v>59.8</v>
      </c>
      <c r="U153" s="40">
        <v>0.2</v>
      </c>
      <c r="V153" s="95">
        <v>44.2</v>
      </c>
      <c r="W153" s="95">
        <v>29.17</v>
      </c>
      <c r="X153" s="78">
        <v>56.1</v>
      </c>
      <c r="Y153" t="s" s="87">
        <v>44</v>
      </c>
      <c r="Z153" s="97">
        <v>90.7</v>
      </c>
      <c r="AA153" s="109" cm="1">
        <f t="array" ref="AA153">Z153/1.01325</f>
        <v>89.5139402911424</v>
      </c>
      <c r="AB153" s="110"/>
      <c r="AC153" s="110">
        <v>770.1</v>
      </c>
      <c r="AD153" s="110"/>
      <c r="AE153" s="110">
        <v>0.57</v>
      </c>
      <c r="AF153" s="110"/>
      <c r="AG153" s="110"/>
      <c r="AH153" s="111">
        <v>0.18</v>
      </c>
    </row>
    <row r="154" ht="15" customHeight="1">
      <c r="A154" s="37">
        <v>22503</v>
      </c>
      <c r="B154" s="57">
        <v>39259</v>
      </c>
      <c r="C154" s="40">
        <v>3277.8</v>
      </c>
      <c r="D154" s="95">
        <v>6.35</v>
      </c>
      <c r="E154" s="95">
        <v>288.77625</v>
      </c>
      <c r="F154" s="95">
        <v>382.5</v>
      </c>
      <c r="G154" s="95">
        <v>101.9</v>
      </c>
      <c r="H154" s="95">
        <v>288.77625</v>
      </c>
      <c r="I154" s="95">
        <v>378.6</v>
      </c>
      <c r="J154" s="95">
        <v>104.1</v>
      </c>
      <c r="K154" s="95">
        <v>26.5</v>
      </c>
      <c r="L154" t="s" s="87">
        <v>44</v>
      </c>
      <c r="M154" s="95">
        <v>106.2</v>
      </c>
      <c r="N154" s="95">
        <v>25.9</v>
      </c>
      <c r="O154" s="95">
        <v>168.591</v>
      </c>
      <c r="P154" s="95">
        <v>48.3</v>
      </c>
      <c r="Q154" s="95">
        <v>0.8</v>
      </c>
      <c r="R154" s="95">
        <v>178.86038</v>
      </c>
      <c r="S154" s="40">
        <v>1891</v>
      </c>
      <c r="T154" s="40">
        <v>116.8</v>
      </c>
      <c r="U154" s="40">
        <v>0.8</v>
      </c>
      <c r="V154" s="95">
        <v>44.5</v>
      </c>
      <c r="W154" s="95">
        <v>40.35</v>
      </c>
      <c r="X154" s="95">
        <v>53.9</v>
      </c>
      <c r="Y154" s="95">
        <v>52.7</v>
      </c>
      <c r="Z154" s="97">
        <v>101.5</v>
      </c>
      <c r="AA154" s="109" cm="1">
        <f t="array" ref="AA154">Z154/1.01325</f>
        <v>100.172711571675</v>
      </c>
      <c r="AB154" s="110"/>
      <c r="AC154" s="110">
        <v>781</v>
      </c>
      <c r="AD154" s="110"/>
      <c r="AE154" s="110">
        <v>0.672</v>
      </c>
      <c r="AF154" s="110"/>
      <c r="AG154" s="110"/>
      <c r="AH154" s="111">
        <v>0.224</v>
      </c>
    </row>
    <row r="155" ht="15" customHeight="1">
      <c r="A155" s="37">
        <v>22503</v>
      </c>
      <c r="B155" s="57">
        <v>39259</v>
      </c>
      <c r="C155" s="40">
        <v>3277.8</v>
      </c>
      <c r="D155" s="95">
        <v>9.529999999999999</v>
      </c>
      <c r="E155" s="95">
        <v>282.69675</v>
      </c>
      <c r="F155" s="95">
        <v>373.7</v>
      </c>
      <c r="G155" s="95">
        <v>103.8</v>
      </c>
      <c r="H155" s="95">
        <v>282.69675</v>
      </c>
      <c r="I155" s="95">
        <v>379.6</v>
      </c>
      <c r="J155" s="95">
        <v>103.5</v>
      </c>
      <c r="K155" s="95">
        <v>39</v>
      </c>
      <c r="L155" t="s" s="87">
        <v>44</v>
      </c>
      <c r="M155" s="95">
        <v>106.4</v>
      </c>
      <c r="N155" s="95">
        <v>40.1</v>
      </c>
      <c r="O155" s="95">
        <v>354.224</v>
      </c>
      <c r="P155" s="95">
        <v>89.8</v>
      </c>
      <c r="Q155" s="95">
        <v>3.2</v>
      </c>
      <c r="R155" s="95">
        <v>373.31868</v>
      </c>
      <c r="S155" s="40">
        <v>1192</v>
      </c>
      <c r="T155" s="40">
        <v>82.59999999999999</v>
      </c>
      <c r="U155" s="40">
        <v>0.8</v>
      </c>
      <c r="V155" s="95">
        <v>44.5</v>
      </c>
      <c r="W155" s="95">
        <v>40.35</v>
      </c>
      <c r="X155" s="95">
        <v>53.9</v>
      </c>
      <c r="Y155" s="95">
        <v>52.7</v>
      </c>
      <c r="Z155" s="97">
        <v>101.5</v>
      </c>
      <c r="AA155" s="109" cm="1">
        <f t="array" ref="AA155">Z155/1.01325</f>
        <v>100.172711571675</v>
      </c>
      <c r="AB155" s="110"/>
      <c r="AC155" s="110">
        <v>186</v>
      </c>
      <c r="AD155" s="110"/>
      <c r="AE155" s="110">
        <v>0.672</v>
      </c>
      <c r="AF155" s="110"/>
      <c r="AG155" s="110"/>
      <c r="AH155" s="111">
        <v>0.199</v>
      </c>
    </row>
    <row r="156" ht="15" customHeight="1">
      <c r="A156" s="37">
        <v>22503</v>
      </c>
      <c r="B156" s="57">
        <v>39260</v>
      </c>
      <c r="C156" s="40">
        <v>3277.8</v>
      </c>
      <c r="D156" s="95">
        <v>11.11</v>
      </c>
      <c r="E156" s="95">
        <v>271.551</v>
      </c>
      <c r="F156" s="95">
        <v>365.7</v>
      </c>
      <c r="G156" s="95">
        <v>103.6</v>
      </c>
      <c r="H156" s="95">
        <v>271.551</v>
      </c>
      <c r="I156" s="95">
        <v>372.7</v>
      </c>
      <c r="J156" s="95">
        <v>102.9</v>
      </c>
      <c r="K156" s="95">
        <v>45.3</v>
      </c>
      <c r="L156" t="s" s="87">
        <v>44</v>
      </c>
      <c r="M156" s="95">
        <v>106.47</v>
      </c>
      <c r="N156" s="95">
        <v>46.1</v>
      </c>
      <c r="O156" s="95">
        <v>460.406</v>
      </c>
      <c r="P156" s="95">
        <v>117.3</v>
      </c>
      <c r="Q156" s="95">
        <v>0.6</v>
      </c>
      <c r="R156" s="95">
        <v>485.34458</v>
      </c>
      <c r="S156" s="40">
        <v>2740</v>
      </c>
      <c r="T156" s="40">
        <v>152.8</v>
      </c>
      <c r="U156" s="40">
        <v>3.3</v>
      </c>
      <c r="V156" s="95">
        <v>44.5</v>
      </c>
      <c r="W156" s="95">
        <v>40.35</v>
      </c>
      <c r="X156" s="95">
        <v>53.9</v>
      </c>
      <c r="Y156" s="95">
        <v>52.7</v>
      </c>
      <c r="Z156" s="97">
        <v>103.2</v>
      </c>
      <c r="AA156" s="109" cm="1">
        <f t="array" ref="AA156">Z156/1.01325</f>
        <v>101.850481125093</v>
      </c>
      <c r="AB156" s="110"/>
      <c r="AC156" s="110">
        <v>790</v>
      </c>
      <c r="AD156" s="110"/>
      <c r="AE156" s="110">
        <v>0.672</v>
      </c>
      <c r="AF156" s="110"/>
      <c r="AG156" s="110"/>
      <c r="AH156" s="111">
        <v>0.201</v>
      </c>
    </row>
    <row r="157" ht="15" customHeight="1">
      <c r="A157" s="37">
        <v>22503</v>
      </c>
      <c r="B157" s="57">
        <v>39261</v>
      </c>
      <c r="C157" s="40">
        <v>3277.8</v>
      </c>
      <c r="D157" s="95">
        <v>12.7</v>
      </c>
      <c r="E157" s="95">
        <v>254.32575</v>
      </c>
      <c r="F157" s="95">
        <v>354.5</v>
      </c>
      <c r="G157" s="95">
        <v>104.1</v>
      </c>
      <c r="H157" s="95">
        <v>254.32575</v>
      </c>
      <c r="I157" s="95">
        <v>364.1</v>
      </c>
      <c r="J157" s="95">
        <v>103.8</v>
      </c>
      <c r="K157" s="95">
        <v>50.3</v>
      </c>
      <c r="L157" t="s" s="87">
        <v>44</v>
      </c>
      <c r="M157" s="95">
        <v>106.4</v>
      </c>
      <c r="N157" s="95">
        <v>50.5</v>
      </c>
      <c r="O157" s="95">
        <v>569.067</v>
      </c>
      <c r="P157" s="95">
        <v>138.4</v>
      </c>
      <c r="Q157" s="95">
        <v>1.6</v>
      </c>
      <c r="R157" s="95">
        <v>598.49244</v>
      </c>
      <c r="S157" s="40">
        <v>3730</v>
      </c>
      <c r="T157" s="40">
        <v>196.5</v>
      </c>
      <c r="U157" s="40">
        <v>0.6</v>
      </c>
      <c r="V157" s="95">
        <v>44.5</v>
      </c>
      <c r="W157" s="95">
        <v>40.35</v>
      </c>
      <c r="X157" s="95">
        <v>53.9</v>
      </c>
      <c r="Y157" s="95">
        <v>52.7</v>
      </c>
      <c r="Z157" s="97">
        <v>102.7</v>
      </c>
      <c r="AA157" s="109" cm="1">
        <f t="array" ref="AA157">Z157/1.01325</f>
        <v>101.357019491735</v>
      </c>
      <c r="AB157" s="110"/>
      <c r="AC157" s="110">
        <v>787</v>
      </c>
      <c r="AD157" s="110"/>
      <c r="AE157" s="110">
        <v>0.672</v>
      </c>
      <c r="AF157" s="110"/>
      <c r="AG157" s="110"/>
      <c r="AH157" s="111">
        <v>0.191</v>
      </c>
    </row>
    <row r="158" ht="15" customHeight="1">
      <c r="A158" s="37">
        <v>22503</v>
      </c>
      <c r="B158" s="57">
        <v>39262</v>
      </c>
      <c r="C158" s="40">
        <v>3277.8</v>
      </c>
      <c r="D158" s="95">
        <v>14.3</v>
      </c>
      <c r="E158" s="95">
        <v>239.127</v>
      </c>
      <c r="F158" s="95">
        <v>345.9</v>
      </c>
      <c r="G158" s="95">
        <v>105.8</v>
      </c>
      <c r="H158" s="95">
        <v>239.127</v>
      </c>
      <c r="I158" s="95">
        <v>354.6</v>
      </c>
      <c r="J158" s="95">
        <v>104</v>
      </c>
      <c r="K158" s="95">
        <v>53.5</v>
      </c>
      <c r="L158" t="s" s="87">
        <v>44</v>
      </c>
      <c r="M158" s="95">
        <v>106.7</v>
      </c>
      <c r="N158" s="95">
        <v>54</v>
      </c>
      <c r="O158" s="95">
        <v>648.097</v>
      </c>
      <c r="P158" s="95">
        <v>158</v>
      </c>
      <c r="Q158" s="95">
        <v>1.8</v>
      </c>
      <c r="R158" s="95">
        <v>681.6896</v>
      </c>
      <c r="S158" s="40">
        <v>4726</v>
      </c>
      <c r="T158" s="40">
        <v>232.4</v>
      </c>
      <c r="U158" s="40">
        <v>1.7</v>
      </c>
      <c r="V158" s="95">
        <v>44.5</v>
      </c>
      <c r="W158" s="95">
        <v>40.35</v>
      </c>
      <c r="X158" s="95">
        <v>53.9</v>
      </c>
      <c r="Y158" s="95">
        <v>52.7</v>
      </c>
      <c r="Z158" s="97">
        <v>103.1</v>
      </c>
      <c r="AA158" s="109" cm="1">
        <f t="array" ref="AA158">Z158/1.01325</f>
        <v>101.751788798421</v>
      </c>
      <c r="AB158" s="110"/>
      <c r="AC158" s="110">
        <v>787</v>
      </c>
      <c r="AD158" s="110"/>
      <c r="AE158" s="110">
        <v>0.672</v>
      </c>
      <c r="AF158" s="110"/>
      <c r="AG158" s="110"/>
      <c r="AH158" s="111">
        <v>0.192</v>
      </c>
    </row>
    <row r="159" ht="15" customHeight="1">
      <c r="A159" s="37">
        <v>22503</v>
      </c>
      <c r="B159" s="57">
        <v>39506</v>
      </c>
      <c r="C159" s="40">
        <v>3276</v>
      </c>
      <c r="D159" s="95">
        <v>7.5</v>
      </c>
      <c r="E159" s="95">
        <v>268</v>
      </c>
      <c r="F159" s="95">
        <v>370.0389</v>
      </c>
      <c r="G159" s="95">
        <v>95</v>
      </c>
      <c r="H159" s="96">
        <v>268</v>
      </c>
      <c r="I159" s="95">
        <v>370.1</v>
      </c>
      <c r="J159" s="95">
        <v>95.40000000000001</v>
      </c>
      <c r="K159" s="95">
        <v>56</v>
      </c>
      <c r="L159" s="95">
        <v>28.6</v>
      </c>
      <c r="M159" s="95">
        <v>104.98</v>
      </c>
      <c r="N159" s="95">
        <v>30.4</v>
      </c>
      <c r="O159" s="95">
        <v>246.611</v>
      </c>
      <c r="P159" s="95">
        <v>69.90000000000001</v>
      </c>
      <c r="Q159" s="95">
        <v>1.2</v>
      </c>
      <c r="R159" s="95">
        <v>261.47294</v>
      </c>
      <c r="S159" s="40">
        <v>1967</v>
      </c>
      <c r="T159" s="40">
        <v>114.7</v>
      </c>
      <c r="U159" s="40">
        <v>1.1</v>
      </c>
      <c r="V159" s="95">
        <v>44.5</v>
      </c>
      <c r="W159" s="95">
        <v>39.44</v>
      </c>
      <c r="X159" s="95">
        <v>48.3</v>
      </c>
      <c r="Y159" s="95">
        <v>45.6</v>
      </c>
      <c r="Z159" s="97">
        <v>94.3</v>
      </c>
      <c r="AA159" s="109" cm="1">
        <f t="array" ref="AA159">Z159/1.01325</f>
        <v>93.066864051320</v>
      </c>
      <c r="AB159" s="110"/>
      <c r="AC159" s="110">
        <v>785</v>
      </c>
      <c r="AD159" s="110"/>
      <c r="AE159" s="110">
        <v>0.667</v>
      </c>
      <c r="AF159" s="110"/>
      <c r="AG159" s="110"/>
      <c r="AH159" s="111">
        <v>0.222</v>
      </c>
    </row>
    <row r="160" ht="15" customHeight="1">
      <c r="A160" s="37">
        <v>22503</v>
      </c>
      <c r="B160" s="57">
        <v>39507</v>
      </c>
      <c r="C160" s="40">
        <v>3276</v>
      </c>
      <c r="D160" s="95">
        <v>9.529999999999999</v>
      </c>
      <c r="E160" s="95">
        <v>262</v>
      </c>
      <c r="F160" s="95">
        <v>364.6788075</v>
      </c>
      <c r="G160" s="95">
        <v>94.90000000000001</v>
      </c>
      <c r="H160" s="96">
        <v>262</v>
      </c>
      <c r="I160" s="95">
        <v>364.6</v>
      </c>
      <c r="J160" s="95">
        <v>94.90000000000001</v>
      </c>
      <c r="K160" s="95">
        <v>62</v>
      </c>
      <c r="L160" s="95">
        <v>36.3</v>
      </c>
      <c r="M160" s="95">
        <v>105.18</v>
      </c>
      <c r="N160" s="95">
        <v>37.5</v>
      </c>
      <c r="O160" s="95">
        <v>350.087</v>
      </c>
      <c r="P160" s="95">
        <v>94.40000000000001</v>
      </c>
      <c r="Q160" s="95">
        <v>1.4</v>
      </c>
      <c r="R160" s="95">
        <v>370.15784</v>
      </c>
      <c r="S160" s="40">
        <v>2970</v>
      </c>
      <c r="T160" s="40">
        <v>154.5</v>
      </c>
      <c r="U160" s="40">
        <v>1.4</v>
      </c>
      <c r="V160" s="95">
        <v>44.5</v>
      </c>
      <c r="W160" s="95">
        <v>39.44</v>
      </c>
      <c r="X160" s="95">
        <v>48.3</v>
      </c>
      <c r="Y160" s="95">
        <v>45.6</v>
      </c>
      <c r="Z160" s="97">
        <v>93.5</v>
      </c>
      <c r="AA160" s="109" cm="1">
        <f t="array" ref="AA160">Z160/1.01325</f>
        <v>92.2773254379472</v>
      </c>
      <c r="AB160" s="110"/>
      <c r="AC160" s="110">
        <v>785</v>
      </c>
      <c r="AD160" s="110"/>
      <c r="AE160" s="110">
        <v>0.667</v>
      </c>
      <c r="AF160" s="110"/>
      <c r="AG160" s="110"/>
      <c r="AH160" s="111">
        <v>0.212</v>
      </c>
    </row>
    <row r="161" ht="15" customHeight="1">
      <c r="A161" s="37">
        <v>22503</v>
      </c>
      <c r="B161" s="57">
        <v>39508</v>
      </c>
      <c r="C161" s="40">
        <v>3276</v>
      </c>
      <c r="D161" s="95">
        <v>11.11</v>
      </c>
      <c r="E161" s="95">
        <v>252</v>
      </c>
      <c r="F161" s="95">
        <v>357.1199625</v>
      </c>
      <c r="G161" s="95">
        <v>97</v>
      </c>
      <c r="H161" s="96">
        <v>252</v>
      </c>
      <c r="I161" s="95">
        <v>357</v>
      </c>
      <c r="J161" s="95">
        <v>96.90000000000001</v>
      </c>
      <c r="K161" s="95">
        <v>66</v>
      </c>
      <c r="L161" s="95">
        <v>42.8</v>
      </c>
      <c r="M161" s="95">
        <v>105.24</v>
      </c>
      <c r="N161" s="95">
        <v>43.7</v>
      </c>
      <c r="O161" s="95">
        <v>452.114</v>
      </c>
      <c r="P161" s="95">
        <v>117.6</v>
      </c>
      <c r="Q161" s="95">
        <v>1.4</v>
      </c>
      <c r="R161" s="95">
        <v>477.11716</v>
      </c>
      <c r="S161" s="40">
        <v>3869</v>
      </c>
      <c r="T161" s="40">
        <v>196.7</v>
      </c>
      <c r="U161" s="40">
        <v>1.4</v>
      </c>
      <c r="V161" s="95">
        <v>44.5</v>
      </c>
      <c r="W161" s="95">
        <v>39.44</v>
      </c>
      <c r="X161" s="95">
        <v>48.3</v>
      </c>
      <c r="Y161" s="95">
        <v>45.6</v>
      </c>
      <c r="Z161" s="97">
        <v>95.3</v>
      </c>
      <c r="AA161" s="109" cm="1">
        <f t="array" ref="AA161">Z161/1.01325</f>
        <v>94.053787318036</v>
      </c>
      <c r="AB161" s="110"/>
      <c r="AC161" s="110">
        <v>785</v>
      </c>
      <c r="AD161" s="110"/>
      <c r="AE161" s="110">
        <v>0.667</v>
      </c>
      <c r="AF161" s="110"/>
      <c r="AG161" s="110"/>
      <c r="AH161" s="111">
        <v>0.204</v>
      </c>
    </row>
    <row r="162" ht="15" customHeight="1">
      <c r="A162" s="37">
        <v>22503</v>
      </c>
      <c r="B162" s="57">
        <v>39509</v>
      </c>
      <c r="C162" s="40">
        <v>3276</v>
      </c>
      <c r="D162" s="95">
        <v>12.7</v>
      </c>
      <c r="E162" s="95">
        <v>237.4</v>
      </c>
      <c r="F162" s="95">
        <v>347.443425</v>
      </c>
      <c r="G162" s="95">
        <v>95.7</v>
      </c>
      <c r="H162" s="96">
        <v>238</v>
      </c>
      <c r="I162" s="95">
        <v>347.5</v>
      </c>
      <c r="J162" s="95">
        <v>95.8</v>
      </c>
      <c r="K162" s="95">
        <v>70</v>
      </c>
      <c r="L162" s="95">
        <v>47.5</v>
      </c>
      <c r="M162" s="95">
        <v>105.23</v>
      </c>
      <c r="N162" s="95">
        <v>47.9</v>
      </c>
      <c r="O162" s="95">
        <v>562.202</v>
      </c>
      <c r="P162" s="95">
        <v>142</v>
      </c>
      <c r="Q162" s="95">
        <v>2.1</v>
      </c>
      <c r="R162" s="95">
        <v>592.3933</v>
      </c>
      <c r="S162" s="40">
        <v>5012</v>
      </c>
      <c r="T162" s="40">
        <v>235.7</v>
      </c>
      <c r="U162" s="40">
        <v>2</v>
      </c>
      <c r="V162" s="95">
        <v>44.5</v>
      </c>
      <c r="W162" s="95">
        <v>39.44</v>
      </c>
      <c r="X162" s="95">
        <v>48.3</v>
      </c>
      <c r="Y162" s="95">
        <v>45.6</v>
      </c>
      <c r="Z162" s="97">
        <v>94.2</v>
      </c>
      <c r="AA162" s="109" cm="1">
        <f t="array" ref="AA162">Z162/1.01325</f>
        <v>92.9681717246484</v>
      </c>
      <c r="AB162" s="110"/>
      <c r="AC162" s="110">
        <v>785</v>
      </c>
      <c r="AD162" s="110"/>
      <c r="AE162" s="110">
        <v>0.667</v>
      </c>
      <c r="AF162" s="110"/>
      <c r="AG162" s="110"/>
      <c r="AH162" s="111">
        <v>0.198</v>
      </c>
    </row>
    <row r="163" ht="15" customHeight="1">
      <c r="A163" s="37">
        <v>22503</v>
      </c>
      <c r="B163" s="57">
        <v>39510</v>
      </c>
      <c r="C163" s="40">
        <v>3276</v>
      </c>
      <c r="D163" s="95">
        <v>14.3</v>
      </c>
      <c r="E163" s="95">
        <v>220</v>
      </c>
      <c r="F163" s="95">
        <v>337.878345</v>
      </c>
      <c r="G163" s="95">
        <v>99.8</v>
      </c>
      <c r="H163" s="96">
        <v>220</v>
      </c>
      <c r="I163" s="95">
        <v>337.7</v>
      </c>
      <c r="J163" s="95">
        <v>99.3</v>
      </c>
      <c r="K163" s="95">
        <v>70</v>
      </c>
      <c r="L163" s="95">
        <v>51.8</v>
      </c>
      <c r="M163" s="95">
        <v>105.16</v>
      </c>
      <c r="N163" s="95">
        <v>52.1</v>
      </c>
      <c r="O163" s="95">
        <v>653.254</v>
      </c>
      <c r="P163" s="95">
        <v>154.7</v>
      </c>
      <c r="Q163" s="95">
        <v>2.3</v>
      </c>
      <c r="R163" s="95">
        <v>686.14552</v>
      </c>
      <c r="S163" s="40">
        <v>5733</v>
      </c>
      <c r="T163" s="40">
        <v>264.3</v>
      </c>
      <c r="U163" s="40">
        <v>2.4</v>
      </c>
      <c r="V163" s="95">
        <v>44.5</v>
      </c>
      <c r="W163" s="95">
        <v>39.44</v>
      </c>
      <c r="X163" s="95">
        <v>48.3</v>
      </c>
      <c r="Y163" s="95">
        <v>45.6</v>
      </c>
      <c r="Z163" s="97">
        <v>98.5</v>
      </c>
      <c r="AA163" s="109" cm="1">
        <f t="array" ref="AA163">Z163/1.01325</f>
        <v>97.21194177152729</v>
      </c>
      <c r="AB163" s="110"/>
      <c r="AC163" s="110">
        <v>785</v>
      </c>
      <c r="AD163" s="110"/>
      <c r="AE163" s="110">
        <v>0.667</v>
      </c>
      <c r="AF163" s="110"/>
      <c r="AG163" s="110"/>
      <c r="AH163" s="111">
        <v>0.186</v>
      </c>
    </row>
    <row r="164" ht="15" customHeight="1">
      <c r="A164" s="37">
        <v>22503</v>
      </c>
      <c r="B164" s="57">
        <v>39829</v>
      </c>
      <c r="C164" s="40">
        <v>3284</v>
      </c>
      <c r="D164" s="95">
        <v>7.94</v>
      </c>
      <c r="E164" s="95">
        <v>241.119565217391</v>
      </c>
      <c r="F164" s="95">
        <v>335.2</v>
      </c>
      <c r="G164" s="95">
        <v>88.7</v>
      </c>
      <c r="H164" s="96">
        <v>241</v>
      </c>
      <c r="I164" s="95">
        <v>335.5</v>
      </c>
      <c r="J164" s="95">
        <v>89</v>
      </c>
      <c r="K164" s="95">
        <v>51</v>
      </c>
      <c r="L164" s="95">
        <v>27</v>
      </c>
      <c r="M164" s="95">
        <v>104.68</v>
      </c>
      <c r="N164" s="95">
        <v>27.2</v>
      </c>
      <c r="O164" s="95">
        <v>215.336</v>
      </c>
      <c r="P164" s="95">
        <v>55.4</v>
      </c>
      <c r="Q164" s="95">
        <v>1.1</v>
      </c>
      <c r="R164" s="95">
        <v>226.53898</v>
      </c>
      <c r="S164" s="40">
        <v>1773</v>
      </c>
      <c r="T164" s="40">
        <v>93.09999999999999</v>
      </c>
      <c r="U164" s="40">
        <v>1.1</v>
      </c>
      <c r="V164" s="95">
        <v>44.5</v>
      </c>
      <c r="W164" s="95">
        <v>35.28</v>
      </c>
      <c r="X164" s="95">
        <v>40.5</v>
      </c>
      <c r="Y164" s="95">
        <v>41.6</v>
      </c>
      <c r="Z164" s="97">
        <v>89.7</v>
      </c>
      <c r="AA164" s="109" cm="1">
        <f t="array" ref="AA164">Z164/1.01325</f>
        <v>88.5270170244264</v>
      </c>
      <c r="AB164" s="110"/>
      <c r="AC164" s="110">
        <v>782</v>
      </c>
      <c r="AD164" s="110"/>
      <c r="AE164" s="110">
        <v>0.66</v>
      </c>
      <c r="AF164" s="110"/>
      <c r="AG164" s="110"/>
      <c r="AH164" s="111">
        <v>0.201</v>
      </c>
    </row>
    <row r="165" ht="15" customHeight="1">
      <c r="A165" s="37">
        <v>22503</v>
      </c>
      <c r="B165" s="57">
        <v>39833</v>
      </c>
      <c r="C165" s="40">
        <v>3284</v>
      </c>
      <c r="D165" s="95">
        <v>9.529999999999999</v>
      </c>
      <c r="E165" s="95">
        <v>240</v>
      </c>
      <c r="F165" s="95">
        <v>328.1</v>
      </c>
      <c r="G165" s="95">
        <v>91.2</v>
      </c>
      <c r="H165" s="96">
        <v>240</v>
      </c>
      <c r="I165" s="95">
        <v>328.4</v>
      </c>
      <c r="J165" s="95">
        <v>91.40000000000001</v>
      </c>
      <c r="K165" s="95">
        <v>59.1</v>
      </c>
      <c r="L165" s="95">
        <v>34.9</v>
      </c>
      <c r="M165" s="95">
        <v>104.84</v>
      </c>
      <c r="N165" s="95">
        <v>35.7</v>
      </c>
      <c r="O165" s="95">
        <v>312.61</v>
      </c>
      <c r="P165" s="95">
        <v>72.7</v>
      </c>
      <c r="Q165" s="95">
        <v>1.9</v>
      </c>
      <c r="R165" s="95">
        <v>325.42891</v>
      </c>
      <c r="S165" s="40">
        <v>2750</v>
      </c>
      <c r="T165" s="40">
        <v>119.2</v>
      </c>
      <c r="U165" s="40">
        <v>2</v>
      </c>
      <c r="V165" s="95">
        <v>44.5</v>
      </c>
      <c r="W165" s="95">
        <v>35.28</v>
      </c>
      <c r="X165" s="95">
        <v>40.5</v>
      </c>
      <c r="Y165" s="95">
        <v>41.6</v>
      </c>
      <c r="Z165" s="97">
        <v>88.90000000000001</v>
      </c>
      <c r="AA165" s="109" cm="1">
        <f t="array" ref="AA165">Z165/1.01325</f>
        <v>87.7374784110535</v>
      </c>
      <c r="AB165" s="110"/>
      <c r="AC165" s="110">
        <v>782</v>
      </c>
      <c r="AD165" s="110"/>
      <c r="AE165" s="110">
        <v>0.66</v>
      </c>
      <c r="AF165" s="110"/>
      <c r="AG165" s="110"/>
      <c r="AH165" s="111">
        <v>0.182</v>
      </c>
    </row>
    <row r="166" ht="15" customHeight="1">
      <c r="A166" s="37">
        <v>22503</v>
      </c>
      <c r="B166" s="57">
        <v>39837</v>
      </c>
      <c r="C166" s="40">
        <v>3284</v>
      </c>
      <c r="D166" s="95">
        <v>11.11</v>
      </c>
      <c r="E166" s="95">
        <v>229</v>
      </c>
      <c r="F166" s="95">
        <v>318</v>
      </c>
      <c r="G166" s="95">
        <v>98</v>
      </c>
      <c r="H166" s="96">
        <v>228</v>
      </c>
      <c r="I166" s="95">
        <v>318.3</v>
      </c>
      <c r="J166" s="95">
        <v>98.90000000000001</v>
      </c>
      <c r="K166" s="95">
        <v>63.3</v>
      </c>
      <c r="L166" s="95">
        <v>41.4</v>
      </c>
      <c r="M166" s="95">
        <v>104.85</v>
      </c>
      <c r="N166" s="95">
        <v>42.5</v>
      </c>
      <c r="O166" s="95">
        <v>409.227</v>
      </c>
      <c r="P166" s="95">
        <v>86.3</v>
      </c>
      <c r="Q166" s="95">
        <v>3.5</v>
      </c>
      <c r="R166" s="95">
        <v>424.73861</v>
      </c>
      <c r="S166" s="40">
        <v>3583</v>
      </c>
      <c r="T166" s="40">
        <v>143.9</v>
      </c>
      <c r="U166" s="40">
        <v>3.5</v>
      </c>
      <c r="V166" s="95">
        <v>44.5</v>
      </c>
      <c r="W166" s="95">
        <v>35.28</v>
      </c>
      <c r="X166" s="95">
        <v>40.5</v>
      </c>
      <c r="Y166" s="95">
        <v>41.6</v>
      </c>
      <c r="Z166" s="97">
        <v>91</v>
      </c>
      <c r="AA166" s="109" cm="1">
        <f t="array" ref="AA166">Z166/1.01325</f>
        <v>89.81001727115719</v>
      </c>
      <c r="AB166" s="110"/>
      <c r="AC166" s="110">
        <v>782</v>
      </c>
      <c r="AD166" s="110"/>
      <c r="AE166" s="110">
        <v>0.66</v>
      </c>
      <c r="AF166" s="110"/>
      <c r="AG166" s="110"/>
      <c r="AH166" s="111">
        <v>0.165</v>
      </c>
    </row>
    <row r="167" ht="15" customHeight="1">
      <c r="A167" s="37">
        <v>22503</v>
      </c>
      <c r="B167" s="57">
        <v>39841</v>
      </c>
      <c r="C167" s="40">
        <v>3284</v>
      </c>
      <c r="D167" s="95">
        <v>12.7</v>
      </c>
      <c r="E167" s="95">
        <v>215</v>
      </c>
      <c r="F167" s="95">
        <v>307.8</v>
      </c>
      <c r="G167" s="95">
        <v>98.59999999999999</v>
      </c>
      <c r="H167" s="96">
        <v>215</v>
      </c>
      <c r="I167" s="95">
        <v>308.1</v>
      </c>
      <c r="J167" s="95">
        <v>97.2</v>
      </c>
      <c r="K167" s="95">
        <v>65</v>
      </c>
      <c r="L167" s="95">
        <v>45.8</v>
      </c>
      <c r="M167" s="95">
        <v>104.78</v>
      </c>
      <c r="N167" s="95">
        <v>46.3</v>
      </c>
      <c r="O167" s="95">
        <v>479.085</v>
      </c>
      <c r="P167" s="95">
        <v>93.5</v>
      </c>
      <c r="Q167" s="95">
        <v>4.7</v>
      </c>
      <c r="R167" s="95">
        <v>495.62985</v>
      </c>
      <c r="S167" s="40">
        <v>4165</v>
      </c>
      <c r="T167" s="40">
        <v>156.8</v>
      </c>
      <c r="U167" s="40">
        <v>4.8</v>
      </c>
      <c r="V167" s="95">
        <v>44.5</v>
      </c>
      <c r="W167" s="95">
        <v>35.28</v>
      </c>
      <c r="X167" s="95">
        <v>40.5</v>
      </c>
      <c r="Y167" s="95">
        <v>41.6</v>
      </c>
      <c r="Z167" s="97">
        <v>94.40000000000001</v>
      </c>
      <c r="AA167" s="109" cm="1">
        <f t="array" ref="AA167">Z167/1.01325</f>
        <v>93.16555637799161</v>
      </c>
      <c r="AB167" s="110"/>
      <c r="AC167" s="110">
        <v>782</v>
      </c>
      <c r="AD167" s="110"/>
      <c r="AE167" s="110">
        <v>0.66</v>
      </c>
      <c r="AF167" s="110"/>
      <c r="AG167" s="110"/>
      <c r="AH167" s="111">
        <v>0.153</v>
      </c>
    </row>
    <row r="168" ht="15" customHeight="1">
      <c r="A168" s="37">
        <v>22503</v>
      </c>
      <c r="B168" s="57">
        <v>39845</v>
      </c>
      <c r="C168" s="40">
        <v>3284</v>
      </c>
      <c r="D168" s="95">
        <v>14.29</v>
      </c>
      <c r="E168" s="95">
        <v>198</v>
      </c>
      <c r="F168" s="95">
        <v>293.6</v>
      </c>
      <c r="G168" s="95">
        <v>98.5</v>
      </c>
      <c r="H168" s="96">
        <v>197</v>
      </c>
      <c r="I168" s="95">
        <v>293.9</v>
      </c>
      <c r="J168" s="95">
        <v>98.40000000000001</v>
      </c>
      <c r="K168" s="95">
        <v>66.90000000000001</v>
      </c>
      <c r="L168" s="95">
        <v>49.8</v>
      </c>
      <c r="M168" s="95">
        <v>104.63</v>
      </c>
      <c r="N168" s="95">
        <v>50.5</v>
      </c>
      <c r="O168" s="95">
        <v>568.497</v>
      </c>
      <c r="P168" s="95">
        <v>106.6</v>
      </c>
      <c r="Q168" s="95">
        <v>6.4</v>
      </c>
      <c r="R168" s="95">
        <v>587.36094</v>
      </c>
      <c r="S168" s="40">
        <v>5113</v>
      </c>
      <c r="T168" s="40">
        <v>174.3</v>
      </c>
      <c r="U168" s="40">
        <v>6.5</v>
      </c>
      <c r="V168" s="95">
        <v>44.5</v>
      </c>
      <c r="W168" s="95">
        <v>35.28</v>
      </c>
      <c r="X168" s="95">
        <v>40.5</v>
      </c>
      <c r="Y168" s="95">
        <v>41.6</v>
      </c>
      <c r="Z168" s="97">
        <v>94</v>
      </c>
      <c r="AA168" s="109" cm="1">
        <f t="array" ref="AA168">Z168/1.01325</f>
        <v>92.77078707130519</v>
      </c>
      <c r="AB168" s="110"/>
      <c r="AC168" s="110">
        <v>782</v>
      </c>
      <c r="AD168" s="110"/>
      <c r="AE168" s="110">
        <v>0.66</v>
      </c>
      <c r="AF168" s="110"/>
      <c r="AG168" s="110"/>
      <c r="AH168" s="111">
        <v>0.147</v>
      </c>
    </row>
    <row r="169" ht="15" customHeight="1">
      <c r="A169" s="37">
        <v>22503</v>
      </c>
      <c r="B169" s="57">
        <v>40406</v>
      </c>
      <c r="C169" s="40">
        <v>3288.6</v>
      </c>
      <c r="D169" s="95">
        <v>7.94</v>
      </c>
      <c r="E169" s="95">
        <v>231.229166666667</v>
      </c>
      <c r="F169" s="95">
        <v>309.1</v>
      </c>
      <c r="G169" s="95">
        <v>92.59999999999999</v>
      </c>
      <c r="H169" s="104">
        <v>230</v>
      </c>
      <c r="I169" s="95">
        <v>307.1</v>
      </c>
      <c r="J169" s="95">
        <v>92.7</v>
      </c>
      <c r="K169" s="95">
        <v>51</v>
      </c>
      <c r="L169" t="s" s="87">
        <v>44</v>
      </c>
      <c r="M169" s="95">
        <v>104.4</v>
      </c>
      <c r="N169" s="95">
        <v>28.1</v>
      </c>
      <c r="O169" s="95">
        <v>215.803</v>
      </c>
      <c r="P169" s="95">
        <v>50.5</v>
      </c>
      <c r="Q169" s="95">
        <v>0.448917016101109</v>
      </c>
      <c r="R169" s="95">
        <v>224.858098917016</v>
      </c>
      <c r="S169" s="40">
        <v>1759</v>
      </c>
      <c r="T169" s="40">
        <v>84.7</v>
      </c>
      <c r="U169" s="40">
        <v>0.4</v>
      </c>
      <c r="V169" s="95">
        <v>48.3747</v>
      </c>
      <c r="W169" s="95">
        <v>33.21</v>
      </c>
      <c r="X169" t="s" s="87">
        <v>44</v>
      </c>
      <c r="Y169" t="s" s="87">
        <v>44</v>
      </c>
      <c r="Z169" s="97">
        <v>89.90000000000001</v>
      </c>
      <c r="AA169" s="109" cm="1">
        <f t="array" ref="AA169">Z169/1.01325</f>
        <v>88.72440167776961</v>
      </c>
      <c r="AB169" s="110"/>
      <c r="AC169" s="110">
        <v>779.6</v>
      </c>
      <c r="AD169" s="110"/>
      <c r="AE169" s="110">
        <v>0.668</v>
      </c>
      <c r="AF169" s="110"/>
      <c r="AG169" s="110"/>
      <c r="AH169" s="111">
        <v>0.182</v>
      </c>
    </row>
    <row r="170" ht="15" customHeight="1">
      <c r="A170" s="37">
        <v>22503</v>
      </c>
      <c r="B170" s="57">
        <v>40410</v>
      </c>
      <c r="C170" s="40">
        <v>3288.6</v>
      </c>
      <c r="D170" s="95">
        <v>11.11</v>
      </c>
      <c r="E170" s="95">
        <v>217.201680672269</v>
      </c>
      <c r="F170" s="95">
        <v>293.9</v>
      </c>
      <c r="G170" s="95">
        <v>93.09999999999999</v>
      </c>
      <c r="H170" s="104">
        <v>215</v>
      </c>
      <c r="I170" s="95">
        <v>293.9</v>
      </c>
      <c r="J170" s="95">
        <v>93.3</v>
      </c>
      <c r="K170" s="95">
        <v>60</v>
      </c>
      <c r="L170" t="s" s="87">
        <v>44</v>
      </c>
      <c r="M170" s="95">
        <v>104.6</v>
      </c>
      <c r="N170" s="95">
        <v>41.3</v>
      </c>
      <c r="O170" s="95">
        <v>387.675</v>
      </c>
      <c r="P170" s="95">
        <v>72</v>
      </c>
      <c r="Q170" s="95">
        <v>1.5</v>
      </c>
      <c r="R170" s="95">
        <v>403.7469</v>
      </c>
      <c r="S170" s="40">
        <v>3454</v>
      </c>
      <c r="T170" s="40">
        <v>123</v>
      </c>
      <c r="U170" s="40">
        <v>1.6</v>
      </c>
      <c r="V170" s="95">
        <v>48.3747</v>
      </c>
      <c r="W170" s="95">
        <v>33.21</v>
      </c>
      <c r="X170" t="s" s="87">
        <v>44</v>
      </c>
      <c r="Y170" t="s" s="87">
        <v>44</v>
      </c>
      <c r="Z170" s="97">
        <v>90.8</v>
      </c>
      <c r="AA170" s="109" cm="1">
        <f t="array" ref="AA170">Z170/1.01325</f>
        <v>89.612632617814</v>
      </c>
      <c r="AB170" s="110"/>
      <c r="AC170" s="110">
        <v>779.6</v>
      </c>
      <c r="AD170" s="110"/>
      <c r="AE170" s="110">
        <v>0.668</v>
      </c>
      <c r="AF170" s="110"/>
      <c r="AG170" s="110"/>
      <c r="AH170" s="111">
        <v>0.145</v>
      </c>
    </row>
    <row r="171" ht="15" customHeight="1">
      <c r="A171" s="37">
        <v>22503</v>
      </c>
      <c r="B171" s="57">
        <v>40818</v>
      </c>
      <c r="C171" s="40">
        <v>3289.8</v>
      </c>
      <c r="D171" s="95">
        <v>9.529999999999999</v>
      </c>
      <c r="E171" s="95">
        <v>199</v>
      </c>
      <c r="F171" s="95">
        <v>271</v>
      </c>
      <c r="G171" s="95">
        <v>95.9459510586598</v>
      </c>
      <c r="H171" s="104">
        <v>199</v>
      </c>
      <c r="I171" s="95">
        <v>272.3</v>
      </c>
      <c r="J171" s="96">
        <v>94.637</v>
      </c>
      <c r="K171" s="95">
        <v>56</v>
      </c>
      <c r="L171" t="s" s="87">
        <v>44</v>
      </c>
      <c r="M171" s="95">
        <v>103.9</v>
      </c>
      <c r="N171" s="95">
        <v>36.1615473793822</v>
      </c>
      <c r="O171" s="95">
        <v>264.3</v>
      </c>
      <c r="P171" s="95">
        <v>47.6</v>
      </c>
      <c r="Q171" s="95">
        <v>1</v>
      </c>
      <c r="R171" s="95">
        <v>274.9396</v>
      </c>
      <c r="S171" s="40">
        <v>2223</v>
      </c>
      <c r="T171" s="40">
        <v>80</v>
      </c>
      <c r="U171" s="40">
        <v>1.1</v>
      </c>
      <c r="V171" s="95">
        <v>48.4</v>
      </c>
      <c r="W171" t="s" s="87">
        <v>44</v>
      </c>
      <c r="X171" s="95">
        <v>39.9</v>
      </c>
      <c r="Y171" t="s" s="87">
        <v>44</v>
      </c>
      <c r="Z171" s="97">
        <v>94</v>
      </c>
      <c r="AA171" s="109" cm="1">
        <f t="array" ref="AA171">Z171/1.01325</f>
        <v>92.77078707130519</v>
      </c>
      <c r="AB171" s="110"/>
      <c r="AC171" s="110">
        <v>772.6</v>
      </c>
      <c r="AD171" s="110"/>
      <c r="AE171" s="110">
        <v>0.671</v>
      </c>
      <c r="AF171" s="110"/>
      <c r="AG171" s="110"/>
      <c r="AH171" s="111">
        <v>0.139</v>
      </c>
    </row>
    <row r="172" ht="15" customHeight="1">
      <c r="A172" s="37">
        <v>22505</v>
      </c>
      <c r="B172" s="57">
        <v>39274</v>
      </c>
      <c r="C172" s="40">
        <v>3672.3</v>
      </c>
      <c r="D172" s="95">
        <v>6.35</v>
      </c>
      <c r="E172" s="95">
        <v>282.69675</v>
      </c>
      <c r="F172" s="95">
        <v>375.048408</v>
      </c>
      <c r="G172" s="95">
        <v>106.175169307010</v>
      </c>
      <c r="H172" s="95">
        <v>282.69675</v>
      </c>
      <c r="I172" s="95">
        <v>372.1</v>
      </c>
      <c r="J172" s="96">
        <v>105.48754</v>
      </c>
      <c r="K172" s="95">
        <v>25</v>
      </c>
      <c r="L172" t="s" s="87">
        <v>44</v>
      </c>
      <c r="M172" s="95">
        <v>106.6</v>
      </c>
      <c r="N172" s="95">
        <v>24.1561620386785</v>
      </c>
      <c r="O172" s="95">
        <v>164.793902541177</v>
      </c>
      <c r="P172" s="95">
        <v>47.6296751651894</v>
      </c>
      <c r="Q172" s="95">
        <v>0.874894182111201</v>
      </c>
      <c r="R172" s="95">
        <v>171.675381430471</v>
      </c>
      <c r="S172" s="40">
        <v>1047</v>
      </c>
      <c r="T172" s="40">
        <v>75</v>
      </c>
      <c r="U172" s="40">
        <v>0.9</v>
      </c>
      <c r="V172" s="95">
        <v>43</v>
      </c>
      <c r="W172" s="95">
        <v>43.98</v>
      </c>
      <c r="X172" s="95">
        <v>58.8</v>
      </c>
      <c r="Y172" s="95">
        <v>65.90000000000001</v>
      </c>
      <c r="Z172" s="97">
        <v>106</v>
      </c>
      <c r="AA172" s="109" cm="1">
        <f t="array" ref="AA172">Z172/1.01325</f>
        <v>104.613866271897</v>
      </c>
      <c r="AB172" s="110"/>
      <c r="AC172" s="110"/>
      <c r="AD172" s="110"/>
      <c r="AE172" s="110"/>
      <c r="AF172" s="110"/>
      <c r="AG172" s="110"/>
      <c r="AH172" s="108"/>
    </row>
    <row r="173" ht="15" customHeight="1">
      <c r="A173" s="37">
        <v>22505</v>
      </c>
      <c r="B173" s="57">
        <v>39275</v>
      </c>
      <c r="C173" s="40">
        <v>3672.3</v>
      </c>
      <c r="D173" s="95">
        <v>9.529999999999999</v>
      </c>
      <c r="E173" s="95">
        <v>268.51125</v>
      </c>
      <c r="F173" s="95">
        <v>356.765325</v>
      </c>
      <c r="G173" s="95">
        <v>106.421502314176</v>
      </c>
      <c r="H173" s="95">
        <v>268.51125</v>
      </c>
      <c r="I173" s="95">
        <v>354.6</v>
      </c>
      <c r="J173" s="96">
        <v>104.83707</v>
      </c>
      <c r="K173" s="95">
        <v>47</v>
      </c>
      <c r="L173" t="s" s="87">
        <v>44</v>
      </c>
      <c r="M173" s="95">
        <v>106.8</v>
      </c>
      <c r="N173" s="95">
        <v>36.774110651341</v>
      </c>
      <c r="O173" s="95">
        <v>339.983963185103</v>
      </c>
      <c r="P173" s="95">
        <v>100.069299494253</v>
      </c>
      <c r="Q173" s="95">
        <v>5.07424533333334</v>
      </c>
      <c r="R173" s="95">
        <v>354.420569160788</v>
      </c>
      <c r="S173" s="40">
        <v>2422</v>
      </c>
      <c r="T173" s="40">
        <v>156.6</v>
      </c>
      <c r="U173" s="40">
        <v>5</v>
      </c>
      <c r="V173" s="95">
        <v>43</v>
      </c>
      <c r="W173" s="95">
        <v>43.98</v>
      </c>
      <c r="X173" s="95">
        <v>58.8</v>
      </c>
      <c r="Y173" s="95">
        <v>65.90000000000001</v>
      </c>
      <c r="Z173" s="97">
        <v>105.8</v>
      </c>
      <c r="AA173" s="109" cm="1">
        <f t="array" ref="AA173">Z173/1.01325</f>
        <v>104.416481618554</v>
      </c>
      <c r="AB173" s="110"/>
      <c r="AC173" s="110"/>
      <c r="AD173" s="110"/>
      <c r="AE173" s="110"/>
      <c r="AF173" s="110"/>
      <c r="AG173" s="110"/>
      <c r="AH173" s="108"/>
    </row>
    <row r="174" ht="15" customHeight="1">
      <c r="A174" s="37">
        <v>22505</v>
      </c>
      <c r="B174" s="57">
        <v>39276</v>
      </c>
      <c r="C174" s="40">
        <v>3672.3</v>
      </c>
      <c r="D174" s="95">
        <v>11.11</v>
      </c>
      <c r="E174" s="95">
        <v>252.29925</v>
      </c>
      <c r="F174" s="95">
        <v>340.8573</v>
      </c>
      <c r="G174" s="95">
        <v>106.534571690442</v>
      </c>
      <c r="H174" s="95">
        <v>252.29925</v>
      </c>
      <c r="I174" s="95">
        <v>337</v>
      </c>
      <c r="J174" s="96">
        <v>106.30395</v>
      </c>
      <c r="K174" s="95">
        <v>47</v>
      </c>
      <c r="L174" t="s" s="87">
        <v>44</v>
      </c>
      <c r="M174" s="95">
        <v>106.7</v>
      </c>
      <c r="N174" s="95">
        <v>42.8143000142654</v>
      </c>
      <c r="O174" s="95">
        <v>424.461412019229</v>
      </c>
      <c r="P174" s="95">
        <v>124.341938088445</v>
      </c>
      <c r="Q174" s="95">
        <v>1.68853146932953</v>
      </c>
      <c r="R174" s="95">
        <v>443.020585730088</v>
      </c>
      <c r="S174" s="40">
        <v>3175</v>
      </c>
      <c r="T174" s="40">
        <v>194</v>
      </c>
      <c r="U174" s="40">
        <v>1.7</v>
      </c>
      <c r="V174" s="95">
        <v>43</v>
      </c>
      <c r="W174" s="95">
        <v>43.98</v>
      </c>
      <c r="X174" s="95">
        <v>58.8</v>
      </c>
      <c r="Y174" s="95">
        <v>65.90000000000001</v>
      </c>
      <c r="Z174" s="97">
        <v>105.8</v>
      </c>
      <c r="AA174" s="109" cm="1">
        <f t="array" ref="AA174">Z174/1.01325</f>
        <v>104.416481618554</v>
      </c>
      <c r="AB174" s="110"/>
      <c r="AC174" s="110"/>
      <c r="AD174" s="110"/>
      <c r="AE174" s="110"/>
      <c r="AF174" s="110"/>
      <c r="AG174" s="110"/>
      <c r="AH174" s="108"/>
    </row>
    <row r="175" ht="15" customHeight="1">
      <c r="A175" s="37">
        <v>22505</v>
      </c>
      <c r="B175" s="57">
        <v>39277</v>
      </c>
      <c r="C175" s="40">
        <v>3672.3</v>
      </c>
      <c r="D175" s="95">
        <v>12.7</v>
      </c>
      <c r="E175" s="95">
        <v>232.03425</v>
      </c>
      <c r="F175" s="95">
        <v>323.6746065</v>
      </c>
      <c r="G175" s="95">
        <v>106.100820698723</v>
      </c>
      <c r="H175" s="95">
        <v>232.03425</v>
      </c>
      <c r="I175" s="95">
        <v>321.5</v>
      </c>
      <c r="J175" s="96">
        <v>105.7409</v>
      </c>
      <c r="K175" s="95">
        <v>47</v>
      </c>
      <c r="L175" t="s" s="87">
        <v>44</v>
      </c>
      <c r="M175" s="95">
        <v>106.5</v>
      </c>
      <c r="N175" s="95">
        <v>47.7662667468069</v>
      </c>
      <c r="O175" s="95">
        <v>506.700622272397</v>
      </c>
      <c r="P175" s="95">
        <v>149.282387377912</v>
      </c>
      <c r="Q175" s="95">
        <v>1.51869619834711</v>
      </c>
      <c r="R175" s="95">
        <v>529.011051624198</v>
      </c>
      <c r="S175" s="40">
        <v>3955</v>
      </c>
      <c r="T175" s="40">
        <v>231.8</v>
      </c>
      <c r="U175" s="40">
        <v>1.5</v>
      </c>
      <c r="V175" s="95">
        <v>43</v>
      </c>
      <c r="W175" s="95">
        <v>43.98</v>
      </c>
      <c r="X175" s="95">
        <v>58.8</v>
      </c>
      <c r="Y175" s="95">
        <v>65.90000000000001</v>
      </c>
      <c r="Z175" s="97">
        <v>105.4</v>
      </c>
      <c r="AA175" s="109" cm="1">
        <f t="array" ref="AA175">Z175/1.01325</f>
        <v>104.021712311868</v>
      </c>
      <c r="AB175" s="110"/>
      <c r="AC175" s="110"/>
      <c r="AD175" s="110"/>
      <c r="AE175" s="110"/>
      <c r="AF175" s="110"/>
      <c r="AG175" s="110"/>
      <c r="AH175" s="108"/>
    </row>
    <row r="176" ht="15" customHeight="1">
      <c r="A176" s="37">
        <v>22505</v>
      </c>
      <c r="B176" s="57">
        <v>39278</v>
      </c>
      <c r="C176" s="40">
        <v>3672.3</v>
      </c>
      <c r="D176" s="95">
        <v>14.29</v>
      </c>
      <c r="E176" s="95">
        <v>213.79575</v>
      </c>
      <c r="F176" s="95">
        <v>306.710775</v>
      </c>
      <c r="G176" s="95">
        <v>106.114781014184</v>
      </c>
      <c r="H176" s="95">
        <v>213.79575</v>
      </c>
      <c r="I176" s="95">
        <v>318.3</v>
      </c>
      <c r="J176" s="96">
        <v>106.63985</v>
      </c>
      <c r="K176" s="95">
        <v>47</v>
      </c>
      <c r="L176" t="s" s="87">
        <v>44</v>
      </c>
      <c r="M176" s="95">
        <v>106.3</v>
      </c>
      <c r="N176" s="95">
        <v>51.1476007092198</v>
      </c>
      <c r="O176" s="95">
        <v>563.908913642724</v>
      </c>
      <c r="P176" s="95">
        <v>165.694838978723</v>
      </c>
      <c r="Q176" s="95">
        <v>1.4199205106383</v>
      </c>
      <c r="R176" s="95">
        <v>588.995686211721</v>
      </c>
      <c r="S176" s="40">
        <v>4511</v>
      </c>
      <c r="T176" s="40">
        <v>256.8</v>
      </c>
      <c r="U176" s="40">
        <v>1.5</v>
      </c>
      <c r="V176" s="95">
        <v>43</v>
      </c>
      <c r="W176" s="95">
        <v>43.98</v>
      </c>
      <c r="X176" s="95">
        <v>58.8</v>
      </c>
      <c r="Y176" s="95">
        <v>65.90000000000001</v>
      </c>
      <c r="Z176" s="97">
        <v>106.6</v>
      </c>
      <c r="AA176" s="109" cm="1">
        <f t="array" ref="AA176">Z176/1.01325</f>
        <v>105.206020231927</v>
      </c>
      <c r="AB176" s="110"/>
      <c r="AC176" s="110"/>
      <c r="AD176" s="110"/>
      <c r="AE176" s="110"/>
      <c r="AF176" s="110"/>
      <c r="AG176" s="110"/>
      <c r="AH176" s="108"/>
    </row>
    <row r="177" ht="15" customHeight="1">
      <c r="A177" s="37">
        <v>22505</v>
      </c>
      <c r="B177" s="57">
        <v>39763</v>
      </c>
      <c r="C177" s="40">
        <v>3679.5</v>
      </c>
      <c r="D177" s="95">
        <v>7.94</v>
      </c>
      <c r="E177" s="95">
        <v>241</v>
      </c>
      <c r="F177" s="95">
        <v>335.97</v>
      </c>
      <c r="G177" s="95">
        <v>89.8183206339051</v>
      </c>
      <c r="H177" s="96">
        <v>241</v>
      </c>
      <c r="I177" s="95">
        <v>333.4</v>
      </c>
      <c r="J177" s="96">
        <v>87.58879</v>
      </c>
      <c r="K177" s="95">
        <v>48.2</v>
      </c>
      <c r="L177" s="95">
        <v>22</v>
      </c>
      <c r="M177" s="95">
        <v>106.73</v>
      </c>
      <c r="N177" s="95">
        <v>21.9889662309583</v>
      </c>
      <c r="O177" s="95">
        <v>236.762629124403</v>
      </c>
      <c r="P177" s="95">
        <v>67.3739667420147</v>
      </c>
      <c r="Q177" s="95">
        <v>0.5007980343980341</v>
      </c>
      <c r="R177" s="95">
        <v>245.970351694181</v>
      </c>
      <c r="S177" s="40">
        <v>1599</v>
      </c>
      <c r="T177" s="40">
        <v>99.5</v>
      </c>
      <c r="U177" s="40">
        <v>0.5</v>
      </c>
      <c r="V177" s="95">
        <v>43</v>
      </c>
      <c r="W177" s="95">
        <v>38.74</v>
      </c>
      <c r="X177" s="95">
        <v>48</v>
      </c>
      <c r="Y177" s="95">
        <v>61.8</v>
      </c>
      <c r="Z177" s="97">
        <v>86.5</v>
      </c>
      <c r="AA177" s="109" cm="1">
        <f t="array" ref="AA177">Z177/1.01325</f>
        <v>85.36886257093509</v>
      </c>
      <c r="AB177" s="110"/>
      <c r="AC177" s="110"/>
      <c r="AD177" s="110"/>
      <c r="AE177" s="110"/>
      <c r="AF177" s="110"/>
      <c r="AG177" s="110"/>
      <c r="AH177" s="108"/>
    </row>
    <row r="178" ht="15" customHeight="1">
      <c r="A178" s="37">
        <v>22505</v>
      </c>
      <c r="B178" s="57">
        <v>39765</v>
      </c>
      <c r="C178" s="40">
        <v>3679.5</v>
      </c>
      <c r="D178" s="95">
        <v>9.529999999999999</v>
      </c>
      <c r="E178" s="95">
        <v>231.217391304348</v>
      </c>
      <c r="F178" s="95">
        <v>325.47</v>
      </c>
      <c r="G178" s="95">
        <v>89.4432603002146</v>
      </c>
      <c r="H178" s="96">
        <v>229</v>
      </c>
      <c r="I178" s="95">
        <v>321.7</v>
      </c>
      <c r="J178" s="96">
        <v>89.37193000000001</v>
      </c>
      <c r="K178" s="95">
        <v>54.7</v>
      </c>
      <c r="L178" s="95">
        <v>29.5</v>
      </c>
      <c r="M178" s="95">
        <v>106.7</v>
      </c>
      <c r="N178" s="95">
        <v>29.4890796711937</v>
      </c>
      <c r="O178" s="95">
        <v>331.072704727377</v>
      </c>
      <c r="P178" s="95">
        <v>87.1971791279486</v>
      </c>
      <c r="Q178" s="95">
        <v>1.55416468906362</v>
      </c>
      <c r="R178" s="95">
        <v>342.921155513204</v>
      </c>
      <c r="S178" s="40">
        <v>2382</v>
      </c>
      <c r="T178" s="40">
        <v>128</v>
      </c>
      <c r="U178" s="40">
        <v>1.5</v>
      </c>
      <c r="V178" s="95">
        <v>43</v>
      </c>
      <c r="W178" s="95">
        <v>38.74</v>
      </c>
      <c r="X178" s="95">
        <v>48</v>
      </c>
      <c r="Y178" s="95">
        <v>61.8</v>
      </c>
      <c r="Z178" s="97">
        <v>88</v>
      </c>
      <c r="AA178" s="109" cm="1">
        <f t="array" ref="AA178">Z178/1.01325</f>
        <v>86.84924747100909</v>
      </c>
      <c r="AB178" s="110"/>
      <c r="AC178" s="110"/>
      <c r="AD178" s="110"/>
      <c r="AE178" s="110"/>
      <c r="AF178" s="110"/>
      <c r="AG178" s="110"/>
      <c r="AH178" s="108"/>
    </row>
    <row r="179" ht="15" customHeight="1">
      <c r="A179" s="37">
        <v>22505</v>
      </c>
      <c r="B179" s="57">
        <v>39766</v>
      </c>
      <c r="C179" s="40">
        <v>3679.5</v>
      </c>
      <c r="D179" s="95">
        <v>11.11</v>
      </c>
      <c r="E179" s="95">
        <v>219.12</v>
      </c>
      <c r="F179" s="95">
        <v>311.69</v>
      </c>
      <c r="G179" s="95">
        <v>91.7377847988311</v>
      </c>
      <c r="H179" s="96">
        <v>217</v>
      </c>
      <c r="I179" s="95">
        <v>306.6</v>
      </c>
      <c r="J179" s="96">
        <v>91.68635999999999</v>
      </c>
      <c r="K179" s="95">
        <v>60.6</v>
      </c>
      <c r="L179" s="95">
        <v>36.8</v>
      </c>
      <c r="M179" s="95">
        <v>106.59</v>
      </c>
      <c r="N179" s="95">
        <v>36.9531423335771</v>
      </c>
      <c r="O179" s="95">
        <v>420.970380780571</v>
      </c>
      <c r="P179" s="95">
        <v>107.683737937088</v>
      </c>
      <c r="Q179" s="95">
        <v>2.90502636430139</v>
      </c>
      <c r="R179" s="95">
        <v>435.678790883862</v>
      </c>
      <c r="S179" s="40">
        <v>3100</v>
      </c>
      <c r="T179" s="40">
        <v>158.9</v>
      </c>
      <c r="U179" s="40">
        <v>2.9</v>
      </c>
      <c r="V179" s="95">
        <v>43</v>
      </c>
      <c r="W179" s="95">
        <v>38.74</v>
      </c>
      <c r="X179" s="95">
        <v>48</v>
      </c>
      <c r="Y179" s="95">
        <v>61.8</v>
      </c>
      <c r="Z179" s="97">
        <v>89.7</v>
      </c>
      <c r="AA179" s="109" cm="1">
        <f t="array" ref="AA179">Z179/1.01325</f>
        <v>88.5270170244264</v>
      </c>
      <c r="AB179" s="110"/>
      <c r="AC179" s="110"/>
      <c r="AD179" s="110"/>
      <c r="AE179" s="110"/>
      <c r="AF179" s="110"/>
      <c r="AG179" s="110"/>
      <c r="AH179" s="108"/>
    </row>
    <row r="180" ht="15" customHeight="1">
      <c r="A180" s="37">
        <v>22505</v>
      </c>
      <c r="B180" s="57">
        <v>39767</v>
      </c>
      <c r="C180" s="40">
        <v>3679.5</v>
      </c>
      <c r="D180" s="95">
        <v>14.29</v>
      </c>
      <c r="E180" s="95">
        <v>188.391304347826</v>
      </c>
      <c r="F180" s="95">
        <v>288.76</v>
      </c>
      <c r="G180" s="95">
        <v>96.3188841960523</v>
      </c>
      <c r="H180" s="96">
        <v>186</v>
      </c>
      <c r="I180" s="95">
        <v>280.4</v>
      </c>
      <c r="J180" s="96">
        <v>100.59241</v>
      </c>
      <c r="K180" s="95">
        <v>64</v>
      </c>
      <c r="L180" s="95">
        <v>46</v>
      </c>
      <c r="M180" s="95">
        <v>106.27</v>
      </c>
      <c r="N180" s="95">
        <v>46.0089162341325</v>
      </c>
      <c r="O180" s="95">
        <v>585.892779544993</v>
      </c>
      <c r="P180" s="95">
        <v>140.764292411848</v>
      </c>
      <c r="Q180" s="95">
        <v>5.14166657263752</v>
      </c>
      <c r="R180" s="95">
        <v>605.363288520318</v>
      </c>
      <c r="S180" s="40">
        <v>4343</v>
      </c>
      <c r="T180" s="40">
        <v>210.4</v>
      </c>
      <c r="U180" s="40">
        <v>5.2</v>
      </c>
      <c r="V180" s="95">
        <v>43</v>
      </c>
      <c r="W180" s="95">
        <v>38.74</v>
      </c>
      <c r="X180" s="95">
        <v>48</v>
      </c>
      <c r="Y180" s="95">
        <v>61.8</v>
      </c>
      <c r="Z180" s="97">
        <v>92.7</v>
      </c>
      <c r="AA180" s="109" cm="1">
        <f t="array" ref="AA180">Z180/1.01325</f>
        <v>91.4877868245744</v>
      </c>
      <c r="AB180" s="110"/>
      <c r="AC180" s="110"/>
      <c r="AD180" s="110"/>
      <c r="AE180" s="110"/>
      <c r="AF180" s="110"/>
      <c r="AG180" s="110"/>
      <c r="AH180" s="108"/>
    </row>
    <row r="181" ht="15" customHeight="1">
      <c r="A181" s="120">
        <v>22505</v>
      </c>
      <c r="B181" s="86">
        <v>40067</v>
      </c>
      <c r="C181" s="40">
        <v>3678</v>
      </c>
      <c r="D181" s="95">
        <v>7.94</v>
      </c>
      <c r="E181" s="95">
        <v>224.8</v>
      </c>
      <c r="F181" s="95">
        <v>319.639</v>
      </c>
      <c r="G181" s="95">
        <v>87.46398928231891</v>
      </c>
      <c r="H181" s="104">
        <v>224</v>
      </c>
      <c r="I181" s="95">
        <v>317.5</v>
      </c>
      <c r="J181" s="96">
        <v>86.87046100000001</v>
      </c>
      <c r="K181" s="95">
        <v>50.3</v>
      </c>
      <c r="L181" s="95">
        <v>22.9</v>
      </c>
      <c r="M181" s="95">
        <v>105.38</v>
      </c>
      <c r="N181" s="95">
        <v>23.2894761150191</v>
      </c>
      <c r="O181" s="95">
        <v>207.4</v>
      </c>
      <c r="P181" s="95">
        <v>61.3</v>
      </c>
      <c r="Q181" s="95">
        <v>1.3</v>
      </c>
      <c r="R181" s="95">
        <v>219.36706</v>
      </c>
      <c r="S181" s="40">
        <v>1852</v>
      </c>
      <c r="T181" s="40">
        <v>91.3</v>
      </c>
      <c r="U181" s="40">
        <v>1.3</v>
      </c>
      <c r="V181" s="95">
        <v>46.7435</v>
      </c>
      <c r="W181" s="95">
        <v>36.96</v>
      </c>
      <c r="X181" s="78">
        <v>60.9</v>
      </c>
      <c r="Y181" s="95">
        <v>60.8</v>
      </c>
      <c r="Z181" s="97">
        <v>83.7</v>
      </c>
      <c r="AA181" s="109" cm="1">
        <f t="array" ref="AA181">Z181/1.01325</f>
        <v>82.6054774241303</v>
      </c>
      <c r="AB181" s="110"/>
      <c r="AC181" s="110"/>
      <c r="AD181" s="110"/>
      <c r="AE181" s="110"/>
      <c r="AF181" s="110"/>
      <c r="AG181" s="110"/>
      <c r="AH181" s="108"/>
    </row>
    <row r="182" ht="15" customHeight="1">
      <c r="A182" s="120">
        <v>22505</v>
      </c>
      <c r="B182" s="86">
        <v>40071</v>
      </c>
      <c r="C182" s="40">
        <v>3678</v>
      </c>
      <c r="D182" s="95">
        <v>9.529999999999999</v>
      </c>
      <c r="E182" s="95">
        <v>216.5</v>
      </c>
      <c r="F182" s="95">
        <v>310.281</v>
      </c>
      <c r="G182" s="95">
        <v>89.1613430078328</v>
      </c>
      <c r="H182" s="96">
        <v>214</v>
      </c>
      <c r="I182" s="95">
        <v>299.3</v>
      </c>
      <c r="J182" s="96">
        <v>90.022499</v>
      </c>
      <c r="K182" s="95">
        <v>48.6</v>
      </c>
      <c r="L182" s="95">
        <v>30.8</v>
      </c>
      <c r="M182" s="95">
        <v>105.36</v>
      </c>
      <c r="N182" s="95">
        <v>30.7791527224992</v>
      </c>
      <c r="O182" s="95">
        <v>286.1</v>
      </c>
      <c r="P182" s="95">
        <v>75</v>
      </c>
      <c r="Q182" s="95">
        <v>1.2</v>
      </c>
      <c r="R182" s="95">
        <v>300.8312</v>
      </c>
      <c r="S182" s="40">
        <v>2647</v>
      </c>
      <c r="T182" s="40">
        <v>111.9</v>
      </c>
      <c r="U182" s="40">
        <v>1.3</v>
      </c>
      <c r="V182" s="95">
        <v>46.7435</v>
      </c>
      <c r="W182" s="95">
        <v>36.96</v>
      </c>
      <c r="X182" s="78">
        <v>60.9</v>
      </c>
      <c r="Y182" s="95">
        <v>60.8</v>
      </c>
      <c r="Z182" s="97">
        <v>85.5</v>
      </c>
      <c r="AA182" s="109" cm="1">
        <f t="array" ref="AA182">Z182/1.01325</f>
        <v>84.3819393042191</v>
      </c>
      <c r="AB182" s="110"/>
      <c r="AC182" s="110"/>
      <c r="AD182" s="110"/>
      <c r="AE182" s="110"/>
      <c r="AF182" s="110"/>
      <c r="AG182" s="110"/>
      <c r="AH182" s="108"/>
    </row>
    <row r="183" ht="15" customHeight="1">
      <c r="A183" s="120">
        <v>22505</v>
      </c>
      <c r="B183" s="86">
        <v>40075</v>
      </c>
      <c r="C183" s="40">
        <v>3678</v>
      </c>
      <c r="D183" s="95">
        <v>11.11</v>
      </c>
      <c r="E183" s="95">
        <v>197.5</v>
      </c>
      <c r="F183" s="95">
        <v>291.377</v>
      </c>
      <c r="G183" s="95">
        <v>92.0728824865307</v>
      </c>
      <c r="H183" s="96">
        <v>194</v>
      </c>
      <c r="I183" s="95">
        <v>277.3</v>
      </c>
      <c r="J183" s="96">
        <v>91.773788</v>
      </c>
      <c r="K183" s="95">
        <v>52.4</v>
      </c>
      <c r="L183" s="95">
        <v>37.8</v>
      </c>
      <c r="M183" s="95">
        <v>105.16</v>
      </c>
      <c r="N183" s="95">
        <v>37.6949810442616</v>
      </c>
      <c r="O183" s="95">
        <v>356.4</v>
      </c>
      <c r="P183" s="95">
        <v>83.09999999999999</v>
      </c>
      <c r="Q183" s="95">
        <v>1.5</v>
      </c>
      <c r="R183" s="95">
        <v>371.28471</v>
      </c>
      <c r="S183" s="40">
        <v>3324</v>
      </c>
      <c r="T183" s="40">
        <v>125</v>
      </c>
      <c r="U183" s="40">
        <v>1.5</v>
      </c>
      <c r="V183" s="95">
        <v>46.7435</v>
      </c>
      <c r="W183" s="95">
        <v>36.96</v>
      </c>
      <c r="X183" s="78">
        <v>60.9</v>
      </c>
      <c r="Y183" s="95">
        <v>60.8</v>
      </c>
      <c r="Z183" s="97">
        <v>88.59999999999999</v>
      </c>
      <c r="AA183" s="109" cm="1">
        <f t="array" ref="AA183">Z183/1.01325</f>
        <v>87.4414014310387</v>
      </c>
      <c r="AB183" s="110"/>
      <c r="AC183" s="110"/>
      <c r="AD183" s="110"/>
      <c r="AE183" s="110"/>
      <c r="AF183" s="110"/>
      <c r="AG183" s="110"/>
      <c r="AH183" s="108"/>
    </row>
    <row r="184" ht="15" customHeight="1">
      <c r="A184" s="120">
        <v>22505</v>
      </c>
      <c r="B184" s="86">
        <v>40079</v>
      </c>
      <c r="C184" s="40">
        <v>3678</v>
      </c>
      <c r="D184" s="95">
        <v>12.7</v>
      </c>
      <c r="E184" s="95">
        <v>182.2</v>
      </c>
      <c r="F184" s="95">
        <v>271.586</v>
      </c>
      <c r="G184" s="95">
        <v>93.25511106004249</v>
      </c>
      <c r="H184" s="96">
        <v>179</v>
      </c>
      <c r="I184" s="95">
        <v>258.6</v>
      </c>
      <c r="J184" s="96">
        <v>92.702141</v>
      </c>
      <c r="K184" s="95">
        <v>55.6</v>
      </c>
      <c r="L184" s="95">
        <v>41.8</v>
      </c>
      <c r="M184" s="95">
        <v>104.91</v>
      </c>
      <c r="N184" s="95">
        <v>41.8327306766152</v>
      </c>
      <c r="O184" s="95">
        <v>394.6</v>
      </c>
      <c r="P184" s="95">
        <v>85.09999999999999</v>
      </c>
      <c r="Q184" s="95">
        <v>1.5</v>
      </c>
      <c r="R184" s="95">
        <v>408.96638</v>
      </c>
      <c r="S184" s="40">
        <v>3728</v>
      </c>
      <c r="T184" s="40">
        <v>128.3</v>
      </c>
      <c r="U184" s="40">
        <v>1.5</v>
      </c>
      <c r="V184" s="95">
        <v>46.7435</v>
      </c>
      <c r="W184" s="95">
        <v>36.96</v>
      </c>
      <c r="X184" s="78">
        <v>60.9</v>
      </c>
      <c r="Y184" s="95">
        <v>60.8</v>
      </c>
      <c r="Z184" s="97">
        <v>89.7</v>
      </c>
      <c r="AA184" s="109" cm="1">
        <f t="array" ref="AA184">Z184/1.01325</f>
        <v>88.5270170244264</v>
      </c>
      <c r="AB184" s="110"/>
      <c r="AC184" s="110"/>
      <c r="AD184" s="110"/>
      <c r="AE184" s="110"/>
      <c r="AF184" s="110"/>
      <c r="AG184" s="110"/>
      <c r="AH184" s="108"/>
    </row>
    <row r="185" ht="15" customHeight="1">
      <c r="A185" s="120">
        <v>22505</v>
      </c>
      <c r="B185" s="86">
        <v>40083</v>
      </c>
      <c r="C185" s="40">
        <v>3678</v>
      </c>
      <c r="D185" s="95">
        <v>14.29</v>
      </c>
      <c r="E185" s="95">
        <v>157</v>
      </c>
      <c r="F185" s="95">
        <v>249.076</v>
      </c>
      <c r="G185" s="95">
        <v>96.4721429180814</v>
      </c>
      <c r="H185" s="96">
        <v>153</v>
      </c>
      <c r="I185" s="95">
        <v>233.5</v>
      </c>
      <c r="J185" s="96">
        <v>100.060417</v>
      </c>
      <c r="K185" s="95">
        <v>56.7</v>
      </c>
      <c r="L185" s="95">
        <v>47.6</v>
      </c>
      <c r="M185" s="95">
        <v>104.5</v>
      </c>
      <c r="N185" s="95">
        <v>47.7153574983372</v>
      </c>
      <c r="O185" s="95">
        <v>455.6</v>
      </c>
      <c r="P185" s="95">
        <v>89.40000000000001</v>
      </c>
      <c r="Q185" s="95">
        <v>1.7</v>
      </c>
      <c r="R185" s="95">
        <v>471.00532</v>
      </c>
      <c r="S185" s="40">
        <v>4302</v>
      </c>
      <c r="T185" s="40">
        <v>135.9</v>
      </c>
      <c r="U185" s="40">
        <v>1.7</v>
      </c>
      <c r="V185" s="95">
        <v>46.7435</v>
      </c>
      <c r="W185" s="95">
        <v>36.96</v>
      </c>
      <c r="X185" s="78">
        <v>60.9</v>
      </c>
      <c r="Y185" s="95">
        <v>60.8</v>
      </c>
      <c r="Z185" s="97">
        <v>87.3</v>
      </c>
      <c r="AA185" s="109" cm="1">
        <f t="array" ref="AA185">Z185/1.01325</f>
        <v>86.15840118430791</v>
      </c>
      <c r="AB185" s="110"/>
      <c r="AC185" s="110"/>
      <c r="AD185" s="110"/>
      <c r="AE185" s="110"/>
      <c r="AF185" s="110"/>
      <c r="AG185" s="110"/>
      <c r="AH185" s="108"/>
    </row>
    <row r="186" ht="15" customHeight="1">
      <c r="A186" s="37">
        <v>22505</v>
      </c>
      <c r="B186" s="57">
        <v>40277</v>
      </c>
      <c r="C186" s="40">
        <v>3679.5</v>
      </c>
      <c r="D186" s="95">
        <v>7.94</v>
      </c>
      <c r="E186" s="95">
        <v>211.9</v>
      </c>
      <c r="F186" s="95">
        <v>289.3877</v>
      </c>
      <c r="G186" s="95">
        <v>91.1312261423418</v>
      </c>
      <c r="H186" s="104">
        <v>208</v>
      </c>
      <c r="I186" s="95">
        <v>289.6</v>
      </c>
      <c r="J186" s="96">
        <v>91.304642</v>
      </c>
      <c r="K186" s="95">
        <v>47</v>
      </c>
      <c r="L186" s="95">
        <v>24.4</v>
      </c>
      <c r="M186" s="95">
        <v>104.903</v>
      </c>
      <c r="N186" s="95">
        <v>24.8416504307735</v>
      </c>
      <c r="O186" s="95">
        <v>188.434</v>
      </c>
      <c r="P186" s="95">
        <v>61.47</v>
      </c>
      <c r="Q186" s="95">
        <v>1.118</v>
      </c>
      <c r="R186" s="95">
        <v>200.870499</v>
      </c>
      <c r="S186" s="40">
        <v>1550</v>
      </c>
      <c r="T186" s="40">
        <v>92.40000000000001</v>
      </c>
      <c r="U186" s="40">
        <v>1.1</v>
      </c>
      <c r="V186" s="95">
        <v>46.7435</v>
      </c>
      <c r="W186" s="95">
        <v>38.65317</v>
      </c>
      <c r="X186" s="78">
        <v>64.09999999999999</v>
      </c>
      <c r="Y186" s="78">
        <v>61.3</v>
      </c>
      <c r="Z186" s="97">
        <v>88.2</v>
      </c>
      <c r="AA186" s="109" cm="1">
        <f t="array" ref="AA186">Z186/1.01325</f>
        <v>87.0466321243523</v>
      </c>
      <c r="AB186" s="110"/>
      <c r="AC186" s="110"/>
      <c r="AD186" s="110"/>
      <c r="AE186" s="110"/>
      <c r="AF186" s="110"/>
      <c r="AG186" s="110"/>
      <c r="AH186" s="108"/>
    </row>
    <row r="187" ht="15" customHeight="1">
      <c r="A187" s="37">
        <v>22505</v>
      </c>
      <c r="B187" s="57">
        <v>40282</v>
      </c>
      <c r="C187" s="40">
        <v>3679.5</v>
      </c>
      <c r="D187" s="95">
        <v>9.529999999999999</v>
      </c>
      <c r="E187" s="95">
        <v>204</v>
      </c>
      <c r="F187" s="95">
        <v>282.8709</v>
      </c>
      <c r="G187" s="95">
        <v>91.17300798070239</v>
      </c>
      <c r="H187" s="104">
        <v>201</v>
      </c>
      <c r="I187" s="95">
        <v>275.3</v>
      </c>
      <c r="J187" s="96">
        <v>91.616821</v>
      </c>
      <c r="K187" s="95">
        <v>48.9</v>
      </c>
      <c r="L187" s="95">
        <v>26.7</v>
      </c>
      <c r="M187" s="95">
        <v>104.882</v>
      </c>
      <c r="N187" s="95">
        <v>31.5804397977215</v>
      </c>
      <c r="O187" s="95">
        <v>261.036</v>
      </c>
      <c r="P187" s="95">
        <v>72.91</v>
      </c>
      <c r="Q187" s="95">
        <v>4.748</v>
      </c>
      <c r="R187" s="95">
        <v>273.705215</v>
      </c>
      <c r="S187" s="40">
        <v>2265</v>
      </c>
      <c r="T187" s="40">
        <v>108.9</v>
      </c>
      <c r="U187" s="40">
        <v>4.8</v>
      </c>
      <c r="V187" s="95">
        <v>46.7435</v>
      </c>
      <c r="W187" s="95">
        <v>38.65317</v>
      </c>
      <c r="X187" s="78">
        <v>64.09999999999999</v>
      </c>
      <c r="Y187" s="78">
        <v>61.3</v>
      </c>
      <c r="Z187" s="97">
        <v>88.5</v>
      </c>
      <c r="AA187" s="109" cm="1">
        <f t="array" ref="AA187">Z187/1.01325</f>
        <v>87.3427091043671</v>
      </c>
      <c r="AB187" s="110"/>
      <c r="AC187" s="110"/>
      <c r="AD187" s="110"/>
      <c r="AE187" s="110"/>
      <c r="AF187" s="110"/>
      <c r="AG187" s="110"/>
      <c r="AH187" s="108"/>
    </row>
    <row r="188" ht="15" customHeight="1">
      <c r="A188" s="37">
        <v>22505</v>
      </c>
      <c r="B188" s="57">
        <v>40285</v>
      </c>
      <c r="C188" s="40">
        <v>3679.5</v>
      </c>
      <c r="D188" s="95">
        <v>11.11</v>
      </c>
      <c r="E188" s="95">
        <v>187.5</v>
      </c>
      <c r="F188" s="95">
        <v>267.4787</v>
      </c>
      <c r="G188" s="95">
        <v>91.5302616632806</v>
      </c>
      <c r="H188" s="104">
        <v>184</v>
      </c>
      <c r="I188" s="95">
        <v>255</v>
      </c>
      <c r="J188" s="96">
        <v>89.507935</v>
      </c>
      <c r="K188" s="95">
        <v>53.5</v>
      </c>
      <c r="L188" s="95">
        <v>33.3</v>
      </c>
      <c r="M188" s="95">
        <v>104.689</v>
      </c>
      <c r="N188" s="95">
        <v>37.4786636720606</v>
      </c>
      <c r="O188" s="95">
        <v>323.372</v>
      </c>
      <c r="P188" s="95">
        <v>82.48699999999999</v>
      </c>
      <c r="Q188" s="95">
        <v>6.278</v>
      </c>
      <c r="R188" s="95">
        <v>337.6815238</v>
      </c>
      <c r="S188" s="40">
        <v>2918</v>
      </c>
      <c r="T188" s="40">
        <v>122.7</v>
      </c>
      <c r="U188" s="40">
        <v>6.3</v>
      </c>
      <c r="V188" s="95">
        <v>46.7435</v>
      </c>
      <c r="W188" s="95">
        <v>38.65317</v>
      </c>
      <c r="X188" s="78">
        <v>64.09999999999999</v>
      </c>
      <c r="Y188" s="78">
        <v>61.3</v>
      </c>
      <c r="Z188" s="97">
        <v>89.8</v>
      </c>
      <c r="AA188" s="109" cm="1">
        <f t="array" ref="AA188">Z188/1.01325</f>
        <v>88.625709351098</v>
      </c>
      <c r="AB188" s="110"/>
      <c r="AC188" s="110"/>
      <c r="AD188" s="110"/>
      <c r="AE188" s="110"/>
      <c r="AF188" s="110"/>
      <c r="AG188" s="110"/>
      <c r="AH188" s="108"/>
    </row>
    <row r="189" ht="13.55" customHeight="1">
      <c r="A189" s="43"/>
      <c r="B189" s="43"/>
      <c r="C189" s="43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43"/>
      <c r="T189" s="43"/>
      <c r="U189" s="43"/>
      <c r="V189" s="121"/>
      <c r="W189" s="121"/>
      <c r="X189" s="121"/>
      <c r="Y189" s="122"/>
      <c r="Z189" s="121"/>
      <c r="AA189" s="108"/>
      <c r="AB189" s="108"/>
      <c r="AC189" s="108"/>
      <c r="AD189" s="108"/>
      <c r="AE189" s="108"/>
      <c r="AF189" s="108"/>
      <c r="AG189" s="108"/>
      <c r="AH189" s="108"/>
    </row>
  </sheetData>
  <mergeCells count="5">
    <mergeCell ref="B1:B2"/>
    <mergeCell ref="E1:G1"/>
    <mergeCell ref="H1:J1"/>
    <mergeCell ref="O1:R1"/>
    <mergeCell ref="S1:U1"/>
  </mergeCells>
  <conditionalFormatting sqref="B4:U188">
    <cfRule type="containsBlanks" dxfId="0" priority="1" stopIfTrue="1">
      <formula>ISBLANK(B4)</formula>
    </cfRule>
    <cfRule type="cellIs" dxfId="1" priority="2" operator="equal" stopIfTrue="1">
      <formula>""""""</formula>
    </cfRule>
  </conditionalFormatting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25"/>
  <sheetViews>
    <sheetView workbookViewId="0" showGridLines="0" defaultGridColor="1"/>
  </sheetViews>
  <sheetFormatPr defaultColWidth="11.5" defaultRowHeight="14.25" customHeight="1" outlineLevelRow="0" outlineLevelCol="0"/>
  <cols>
    <col min="1" max="5" width="11.5" style="123" customWidth="1"/>
    <col min="6" max="16384" width="11.5" style="123" customWidth="1"/>
  </cols>
  <sheetData>
    <row r="1" ht="13.55" customHeight="1">
      <c r="A1" s="124">
        <v>21303</v>
      </c>
      <c r="B1" s="125"/>
      <c r="C1" s="126"/>
      <c r="D1" s="126"/>
      <c r="E1" s="126"/>
    </row>
    <row r="2" ht="13.55" customHeight="1">
      <c r="A2" s="127">
        <v>11206</v>
      </c>
      <c r="B2" s="126"/>
      <c r="C2" s="126"/>
      <c r="D2" s="126"/>
      <c r="E2" s="126"/>
    </row>
    <row r="3" ht="13.55" customHeight="1">
      <c r="A3" s="128">
        <v>22503</v>
      </c>
      <c r="B3" s="125"/>
      <c r="C3" s="126"/>
      <c r="D3" s="126"/>
      <c r="E3" s="126"/>
    </row>
    <row r="4" ht="13.55" customHeight="1">
      <c r="A4" s="129">
        <v>20503</v>
      </c>
      <c r="B4" s="126"/>
      <c r="C4" s="126"/>
      <c r="D4" s="126"/>
      <c r="E4" s="126"/>
    </row>
    <row r="5" ht="13.55" customHeight="1">
      <c r="A5" s="130">
        <v>22103</v>
      </c>
      <c r="B5" s="126"/>
      <c r="C5" s="126"/>
      <c r="D5" s="126"/>
      <c r="E5" s="126"/>
    </row>
    <row r="6" ht="13.55" customHeight="1">
      <c r="A6" s="131">
        <v>22505</v>
      </c>
      <c r="B6" s="126"/>
      <c r="C6" s="126"/>
      <c r="D6" s="126"/>
      <c r="E6" s="126"/>
    </row>
    <row r="7" ht="13.55" customHeight="1">
      <c r="A7" s="128">
        <v>11504</v>
      </c>
      <c r="B7" s="125"/>
      <c r="C7" s="126"/>
      <c r="D7" s="126"/>
      <c r="E7" s="126"/>
    </row>
    <row r="8" ht="13.55" customHeight="1">
      <c r="A8" s="128">
        <v>11203</v>
      </c>
      <c r="B8" s="125"/>
      <c r="C8" s="126"/>
      <c r="D8" s="126"/>
      <c r="E8" s="126"/>
    </row>
    <row r="9" ht="13.55" customHeight="1">
      <c r="A9" s="128">
        <v>807</v>
      </c>
      <c r="B9" s="125"/>
      <c r="C9" s="126"/>
      <c r="D9" s="126"/>
      <c r="E9" s="126"/>
    </row>
    <row r="10" ht="13.55" customHeight="1">
      <c r="A10" s="128">
        <v>11501</v>
      </c>
      <c r="B10" s="125"/>
      <c r="C10" s="126"/>
      <c r="D10" s="126"/>
      <c r="E10" s="126"/>
    </row>
    <row r="11" ht="13.55" customHeight="1">
      <c r="A11" s="127">
        <v>12107</v>
      </c>
      <c r="B11" s="126"/>
      <c r="C11" s="126"/>
      <c r="D11" s="126"/>
      <c r="E11" s="126"/>
    </row>
    <row r="12" ht="13.55" customHeight="1">
      <c r="A12" s="128">
        <v>22501</v>
      </c>
      <c r="B12" s="125"/>
      <c r="C12" s="126"/>
      <c r="D12" s="126"/>
      <c r="E12" s="126"/>
    </row>
    <row r="13" ht="13.55" customHeight="1">
      <c r="A13" s="127">
        <v>11207</v>
      </c>
      <c r="B13" s="126"/>
      <c r="C13" s="126"/>
      <c r="D13" s="126"/>
      <c r="E13" s="126"/>
    </row>
    <row r="14" ht="13.55" customHeight="1">
      <c r="A14" s="128">
        <v>21203</v>
      </c>
      <c r="B14" s="125"/>
      <c r="C14" s="126"/>
      <c r="D14" s="126"/>
      <c r="E14" s="126"/>
    </row>
    <row r="15" ht="13.55" customHeight="1">
      <c r="A15" s="128">
        <v>11503</v>
      </c>
      <c r="B15" s="125"/>
      <c r="C15" s="126"/>
      <c r="D15" s="126"/>
      <c r="E15" s="126"/>
    </row>
    <row r="16" ht="13.55" customHeight="1">
      <c r="A16" s="128">
        <v>21002</v>
      </c>
      <c r="B16" s="125"/>
      <c r="C16" s="126"/>
      <c r="D16" s="126"/>
      <c r="E16" s="126"/>
    </row>
    <row r="17" ht="13.55" customHeight="1">
      <c r="A17" s="129">
        <v>21204</v>
      </c>
      <c r="B17" s="126"/>
      <c r="C17" s="126"/>
      <c r="D17" s="126"/>
      <c r="E17" s="126"/>
    </row>
    <row r="18" ht="13.55" customHeight="1">
      <c r="A18" s="130">
        <v>11502</v>
      </c>
      <c r="B18" s="126"/>
      <c r="C18" s="126"/>
      <c r="D18" s="126"/>
      <c r="E18" s="126"/>
    </row>
    <row r="19" ht="13.55" customHeight="1">
      <c r="A19" s="130">
        <v>11703</v>
      </c>
      <c r="B19" s="126"/>
      <c r="C19" s="126"/>
      <c r="D19" s="126"/>
      <c r="E19" s="126"/>
    </row>
    <row r="20" ht="13.55" customHeight="1">
      <c r="A20" s="130">
        <v>22102</v>
      </c>
      <c r="B20" s="126"/>
      <c r="C20" s="126"/>
      <c r="D20" s="126"/>
      <c r="E20" s="126"/>
    </row>
    <row r="21" ht="13.55" customHeight="1">
      <c r="A21" s="130">
        <v>22104</v>
      </c>
      <c r="B21" s="126"/>
      <c r="C21" s="126"/>
      <c r="D21" s="126"/>
      <c r="E21" s="126"/>
    </row>
    <row r="22" ht="13.55" customHeight="1">
      <c r="A22" s="130">
        <v>11201</v>
      </c>
      <c r="B22" s="126"/>
      <c r="C22" s="126"/>
      <c r="D22" s="126"/>
      <c r="E22" s="126"/>
    </row>
    <row r="23" ht="13.55" customHeight="1">
      <c r="A23" s="130">
        <v>12104</v>
      </c>
      <c r="B23" s="126"/>
      <c r="C23" s="126"/>
      <c r="D23" s="126"/>
      <c r="E23" s="126"/>
    </row>
    <row r="24" ht="13.55" customHeight="1">
      <c r="A24" s="130">
        <v>21201</v>
      </c>
      <c r="B24" s="126"/>
      <c r="C24" s="126"/>
      <c r="D24" s="126"/>
      <c r="E24" s="126"/>
    </row>
    <row r="25" ht="13.55" customHeight="1">
      <c r="A25" s="130">
        <v>21202</v>
      </c>
      <c r="B25" s="126"/>
      <c r="C25" s="126"/>
      <c r="D25" s="126"/>
      <c r="E25" s="126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